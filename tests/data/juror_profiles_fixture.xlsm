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novojuryconsulting.sharepoint.com/sites/denovo/Shared Documents/JAMES DASHBOARDS/#### Case Name - Project Folder TEMPLATE/"/>
    </mc:Choice>
  </mc:AlternateContent>
  <xr:revisionPtr revIDLastSave="0" documentId="8_{967A4D33-FC8A-472A-B9A1-4C1F961A0C39}" xr6:coauthVersionLast="47" xr6:coauthVersionMax="47" xr10:uidLastSave="{00000000-0000-0000-0000-000000000000}"/>
  <bookViews>
    <workbookView xWindow="-98" yWindow="-98" windowWidth="21795" windowHeight="12975" activeTab="4" xr2:uid="{DB903FEB-EEF7-42BA-A0D9-05F6FF547573}"/>
  </bookViews>
  <sheets>
    <sheet name="Demographic Data" sheetId="1" r:id="rId1"/>
    <sheet name="Juror Profiles" sheetId="2" r:id="rId2"/>
    <sheet name="Juror Profile Cards" sheetId="4" r:id="rId3"/>
    <sheet name="Sheet1" sheetId="3" r:id="rId4"/>
    <sheet name="Shape Audit" sheetId="5" r:id="rId5"/>
  </sheets>
  <definedNames>
    <definedName name="_xlnm.Print_Area" localSheetId="1">'Juror Profiles'!$C$3:$G$71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2" i="1" l="1"/>
  <c r="B63" i="1"/>
  <c r="C56" i="1"/>
  <c r="C57" i="1"/>
  <c r="C58" i="1"/>
  <c r="C59" i="1"/>
  <c r="C60" i="1"/>
  <c r="C61" i="1"/>
  <c r="C62" i="1"/>
  <c r="C63" i="1"/>
  <c r="R29" i="1"/>
  <c r="S29" i="1"/>
  <c r="A62" i="1" s="1"/>
  <c r="B61" i="1"/>
  <c r="B55" i="1"/>
  <c r="B56" i="1"/>
  <c r="B57" i="1"/>
  <c r="B58" i="1"/>
  <c r="B59" i="1"/>
  <c r="B60" i="1"/>
  <c r="R25" i="1"/>
  <c r="S25" i="1"/>
  <c r="A58" i="1" s="1"/>
  <c r="R26" i="1"/>
  <c r="S26" i="1"/>
  <c r="A59" i="1" s="1"/>
  <c r="R27" i="1"/>
  <c r="S27" i="1"/>
  <c r="A60" i="1" s="1"/>
  <c r="A64" i="1"/>
  <c r="A63" i="1" l="1"/>
  <c r="A65" i="1"/>
  <c r="A66" i="1"/>
  <c r="B36" i="1" l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35" i="1"/>
  <c r="C55" i="1"/>
  <c r="C45" i="1"/>
  <c r="C44" i="1"/>
  <c r="C43" i="1"/>
  <c r="C42" i="1"/>
  <c r="C41" i="1"/>
  <c r="C40" i="1"/>
  <c r="C39" i="1"/>
  <c r="C38" i="1"/>
  <c r="C37" i="1"/>
  <c r="S2" i="1"/>
  <c r="A35" i="1" s="1"/>
  <c r="C36" i="1"/>
  <c r="C46" i="1"/>
  <c r="C47" i="1"/>
  <c r="C48" i="1"/>
  <c r="C49" i="1"/>
  <c r="C50" i="1"/>
  <c r="C51" i="1"/>
  <c r="C52" i="1"/>
  <c r="C53" i="1"/>
  <c r="C54" i="1"/>
  <c r="C35" i="1"/>
  <c r="S3" i="1"/>
  <c r="A36" i="1" s="1"/>
  <c r="S5" i="1"/>
  <c r="A38" i="1" s="1"/>
  <c r="S7" i="1"/>
  <c r="A40" i="1" s="1"/>
  <c r="S8" i="1"/>
  <c r="A41" i="1" s="1"/>
  <c r="S16" i="1"/>
  <c r="A49" i="1" s="1"/>
  <c r="S14" i="1"/>
  <c r="A47" i="1" s="1"/>
  <c r="S15" i="1"/>
  <c r="A48" i="1" s="1"/>
  <c r="S17" i="1"/>
  <c r="A50" i="1" s="1"/>
  <c r="S19" i="1"/>
  <c r="A52" i="1" s="1"/>
  <c r="S20" i="1"/>
  <c r="A53" i="1" s="1"/>
  <c r="S6" i="1"/>
  <c r="A39" i="1" s="1"/>
  <c r="S18" i="1"/>
  <c r="A51" i="1" s="1"/>
  <c r="S21" i="1"/>
  <c r="A54" i="1" s="1"/>
  <c r="S23" i="1"/>
  <c r="A56" i="1" s="1"/>
  <c r="S24" i="1"/>
  <c r="A57" i="1" s="1"/>
  <c r="S11" i="1"/>
  <c r="A44" i="1" s="1"/>
  <c r="S9" i="1"/>
  <c r="A42" i="1" s="1"/>
  <c r="S28" i="1"/>
  <c r="A61" i="1" s="1"/>
  <c r="S4" i="1"/>
  <c r="A37" i="1" s="1"/>
  <c r="S22" i="1"/>
  <c r="A55" i="1" s="1"/>
  <c r="S10" i="1"/>
  <c r="A43" i="1" s="1"/>
  <c r="S13" i="1"/>
  <c r="A46" i="1" s="1"/>
  <c r="S12" i="1"/>
  <c r="A45" i="1" s="1"/>
</calcChain>
</file>

<file path=xl/sharedStrings.xml><?xml version="1.0" encoding="utf-8"?>
<sst xmlns="http://schemas.openxmlformats.org/spreadsheetml/2006/main" count="1448" uniqueCount="403">
  <si>
    <t>Juror stem</t>
  </si>
  <si>
    <t xml:space="preserve">Juror </t>
  </si>
  <si>
    <t>Name</t>
  </si>
  <si>
    <t>Gender</t>
  </si>
  <si>
    <t>AGE</t>
  </si>
  <si>
    <t>Ethnicity</t>
  </si>
  <si>
    <t>Race</t>
  </si>
  <si>
    <t>Education</t>
  </si>
  <si>
    <t>Employment Status</t>
  </si>
  <si>
    <t>Job Title</t>
  </si>
  <si>
    <t>Industry</t>
  </si>
  <si>
    <t>Martial Statas</t>
  </si>
  <si>
    <t>Living Situ</t>
  </si>
  <si>
    <t>Political Affiliation</t>
  </si>
  <si>
    <t>Political Leaning</t>
  </si>
  <si>
    <t>Income</t>
  </si>
  <si>
    <t>Age Stem</t>
  </si>
  <si>
    <t>Age Range</t>
  </si>
  <si>
    <t>Generation</t>
  </si>
  <si>
    <t>Hispanic Stem</t>
  </si>
  <si>
    <t>Dash</t>
  </si>
  <si>
    <t xml:space="preserve">Hispanic: </t>
  </si>
  <si>
    <t>-</t>
  </si>
  <si>
    <t>Youngest</t>
  </si>
  <si>
    <t>Range</t>
  </si>
  <si>
    <t>Generations</t>
  </si>
  <si>
    <t>Gen Z</t>
  </si>
  <si>
    <t>Millennial</t>
  </si>
  <si>
    <t>Gen X</t>
  </si>
  <si>
    <t>Boomer</t>
  </si>
  <si>
    <t>Silent Gen</t>
  </si>
  <si>
    <t>Juror 1</t>
  </si>
  <si>
    <t>Juror 2</t>
  </si>
  <si>
    <t>Juror 3</t>
  </si>
  <si>
    <t>Juror 4</t>
  </si>
  <si>
    <t>Juror 5</t>
  </si>
  <si>
    <t>Juror 6</t>
  </si>
  <si>
    <t>Juror 7</t>
  </si>
  <si>
    <t>Juror 8</t>
  </si>
  <si>
    <t>Juror 9</t>
  </si>
  <si>
    <t>Juror 10</t>
  </si>
  <si>
    <t>Juror 11</t>
  </si>
  <si>
    <t>Juror 13</t>
  </si>
  <si>
    <t>Juror 14</t>
  </si>
  <si>
    <t>Juror 15</t>
  </si>
  <si>
    <t>Juror 16</t>
  </si>
  <si>
    <t>Juror 17</t>
  </si>
  <si>
    <t>Juror 18</t>
  </si>
  <si>
    <t>Juror 19</t>
  </si>
  <si>
    <t>Juror 20</t>
  </si>
  <si>
    <t>Juror 21</t>
  </si>
  <si>
    <t>Juror 22</t>
  </si>
  <si>
    <t>Juror 23</t>
  </si>
  <si>
    <t>25-44</t>
  </si>
  <si>
    <t>45+</t>
  </si>
  <si>
    <t>18-24</t>
  </si>
  <si>
    <t>Juror 3a</t>
  </si>
  <si>
    <t>Juror 2a</t>
  </si>
  <si>
    <t>Juror 1aa</t>
  </si>
  <si>
    <t>Juror 2aa</t>
  </si>
  <si>
    <t>Juror 1a</t>
  </si>
  <si>
    <t>Juror 4a</t>
  </si>
  <si>
    <t>3 Words</t>
  </si>
  <si>
    <t>Age</t>
  </si>
  <si>
    <t>Juror 6a</t>
  </si>
  <si>
    <t>Juror 8a</t>
  </si>
  <si>
    <t>Juror 10a</t>
  </si>
  <si>
    <t>Juror 14a</t>
  </si>
  <si>
    <t>Juror 16a</t>
  </si>
  <si>
    <t>Juror 18a</t>
  </si>
  <si>
    <t>Juror 20a</t>
  </si>
  <si>
    <t>Juror 22a</t>
  </si>
  <si>
    <t>Juror 24a</t>
  </si>
  <si>
    <t>Juror 5a</t>
  </si>
  <si>
    <t>Juror 7a</t>
  </si>
  <si>
    <t>Juror 9a</t>
  </si>
  <si>
    <t>Juror 11a</t>
  </si>
  <si>
    <t>Juror 13a</t>
  </si>
  <si>
    <t>Juror 15a</t>
  </si>
  <si>
    <t>Juror 17a</t>
  </si>
  <si>
    <t>Juror 19a</t>
  </si>
  <si>
    <t>Juror 21a</t>
  </si>
  <si>
    <t>Juror 23a</t>
  </si>
  <si>
    <t>EXPANDED PROFILES</t>
  </si>
  <si>
    <t>CONDENSED PROFILES</t>
  </si>
  <si>
    <t>Apos</t>
  </si>
  <si>
    <t xml:space="preserve">I am </t>
  </si>
  <si>
    <t>Quotes</t>
  </si>
  <si>
    <t>"</t>
  </si>
  <si>
    <t>Adjust the 3 words</t>
  </si>
  <si>
    <t>Juror 25</t>
  </si>
  <si>
    <t>Juror 26</t>
  </si>
  <si>
    <t>Juror 24</t>
  </si>
  <si>
    <t>Juror 28</t>
  </si>
  <si>
    <t>Juror 27</t>
  </si>
  <si>
    <t>13-29</t>
  </si>
  <si>
    <t>29-45</t>
  </si>
  <si>
    <t>45-61</t>
  </si>
  <si>
    <t>61-80</t>
  </si>
  <si>
    <t>80-98</t>
  </si>
  <si>
    <t>Juror 12</t>
  </si>
  <si>
    <t>Sheet</t>
  </si>
  <si>
    <t>Type</t>
  </si>
  <si>
    <t>Linked cell</t>
  </si>
  <si>
    <t>Text (first 60)</t>
  </si>
  <si>
    <t>Top</t>
  </si>
  <si>
    <t>Left</t>
  </si>
  <si>
    <t>Width</t>
  </si>
  <si>
    <t>Height</t>
  </si>
  <si>
    <t>Top-left cell</t>
  </si>
  <si>
    <t>Visible</t>
  </si>
  <si>
    <t>Inside group</t>
  </si>
  <si>
    <t>Button macro</t>
  </si>
  <si>
    <t>Demographic Data</t>
  </si>
  <si>
    <t>Button 1</t>
  </si>
  <si>
    <t/>
  </si>
  <si>
    <t>B30</t>
  </si>
  <si>
    <t>Juror Profiles Master Copy.xlsm'!ReplaceEducationValues</t>
  </si>
  <si>
    <t>Button 2</t>
  </si>
  <si>
    <t>C30</t>
  </si>
  <si>
    <t>Juror Profiles Master Copy.xlsm'!ReplaceEmployValues_ActiveSheet</t>
  </si>
  <si>
    <t>Button 3</t>
  </si>
  <si>
    <t>E30</t>
  </si>
  <si>
    <t>Juror Profiles Master Copy.xlsm'!ReplaceHouseholdIncomeValues</t>
  </si>
  <si>
    <t>Button 4</t>
  </si>
  <si>
    <t>D30</t>
  </si>
  <si>
    <t>Juror Profiles Master Copy.xlsm'!ReplaceMaritalValues</t>
  </si>
  <si>
    <t>Button 5</t>
  </si>
  <si>
    <t>F30</t>
  </si>
  <si>
    <t>Juror Profiles Master Copy.xlsm'!ReplaceRacevalues</t>
  </si>
  <si>
    <t>Button 6</t>
  </si>
  <si>
    <t>G30</t>
  </si>
  <si>
    <t>Juror Profiles Master Copy.xlsm'!HighlightLongText</t>
  </si>
  <si>
    <t>Button 7</t>
  </si>
  <si>
    <t>H30</t>
  </si>
  <si>
    <t>Juror Profiles Master Copy.xlsm'!RemoveYellowHighlight</t>
  </si>
  <si>
    <t>Juror Profiles</t>
  </si>
  <si>
    <t>C68</t>
  </si>
  <si>
    <t>F63</t>
  </si>
  <si>
    <t>C63</t>
  </si>
  <si>
    <t>F58</t>
  </si>
  <si>
    <t>C58</t>
  </si>
  <si>
    <t>F53</t>
  </si>
  <si>
    <t>C53</t>
  </si>
  <si>
    <t>F48</t>
  </si>
  <si>
    <t>C48</t>
  </si>
  <si>
    <t>F43</t>
  </si>
  <si>
    <t>C43</t>
  </si>
  <si>
    <t>F38</t>
  </si>
  <si>
    <t>C38</t>
  </si>
  <si>
    <t>F33</t>
  </si>
  <si>
    <t>C33</t>
  </si>
  <si>
    <t>F28</t>
  </si>
  <si>
    <t>C28</t>
  </si>
  <si>
    <t>F23</t>
  </si>
  <si>
    <t>C23</t>
  </si>
  <si>
    <t>F18</t>
  </si>
  <si>
    <t>C18</t>
  </si>
  <si>
    <t>F13</t>
  </si>
  <si>
    <t>C13</t>
  </si>
  <si>
    <t>F8</t>
  </si>
  <si>
    <t>C8</t>
  </si>
  <si>
    <t>F3</t>
  </si>
  <si>
    <t>C3</t>
  </si>
  <si>
    <t>Picture 37</t>
  </si>
  <si>
    <t>B67</t>
  </si>
  <si>
    <t>Picture 2682</t>
  </si>
  <si>
    <t>B57</t>
  </si>
  <si>
    <t>Picture 2675</t>
  </si>
  <si>
    <t>F22</t>
  </si>
  <si>
    <t>J1</t>
  </si>
  <si>
    <t>Juror Profiles Master Copy.xlsm'!RenamePicturesBasedOnLocation</t>
  </si>
  <si>
    <t>Juror Profiles Master Copy.xlsm'!CenterMatchingObjects</t>
  </si>
  <si>
    <t>J2</t>
  </si>
  <si>
    <t>Juror Profiles Master Copy.xlsm'!ResizeJPGImages</t>
  </si>
  <si>
    <t xml:space="preserve">'Demographic Data'!A44 </t>
  </si>
  <si>
    <t>#N/A</t>
  </si>
  <si>
    <t>G23</t>
  </si>
  <si>
    <t>Juror 10b</t>
  </si>
  <si>
    <t xml:space="preserve">'Demographic Data'!B44 </t>
  </si>
  <si>
    <t>0</t>
  </si>
  <si>
    <t>F26</t>
  </si>
  <si>
    <t>J3</t>
  </si>
  <si>
    <t>Juror Profiles Master Copy.xlsm'!SendAllPicturesToBack</t>
  </si>
  <si>
    <t>Straight Connector 36</t>
  </si>
  <si>
    <t>F6</t>
  </si>
  <si>
    <t>Straight Connector 54</t>
  </si>
  <si>
    <t>TextBox 14</t>
  </si>
  <si>
    <t>F20</t>
  </si>
  <si>
    <t>TextBox 17</t>
  </si>
  <si>
    <t>F25</t>
  </si>
  <si>
    <t>Group 2741</t>
  </si>
  <si>
    <t>F2</t>
  </si>
  <si>
    <t>Picture 2661</t>
  </si>
  <si>
    <t xml:space="preserve">'Demographic Data'!A36 </t>
  </si>
  <si>
    <t>Juror 2b</t>
  </si>
  <si>
    <t xml:space="preserve">'Demographic Data'!B36 </t>
  </si>
  <si>
    <t>TextBox 29</t>
  </si>
  <si>
    <t>Straight Connector 2715</t>
  </si>
  <si>
    <t>Group 2737</t>
  </si>
  <si>
    <t>B2</t>
  </si>
  <si>
    <t>Picture 2662</t>
  </si>
  <si>
    <t xml:space="preserve">'Demographic Data'!B35 </t>
  </si>
  <si>
    <t>Straight Connector 34</t>
  </si>
  <si>
    <t>Rectangle 35</t>
  </si>
  <si>
    <t xml:space="preserve">'Demographic Data'!A35 </t>
  </si>
  <si>
    <t>Group 2742</t>
  </si>
  <si>
    <t>B7</t>
  </si>
  <si>
    <t>Picture 2660</t>
  </si>
  <si>
    <t xml:space="preserve">'Demographic Data'!A37 </t>
  </si>
  <si>
    <t>Juror 3b</t>
  </si>
  <si>
    <t xml:space="preserve">'Demographic Data'!B37 </t>
  </si>
  <si>
    <t>Straight Connector 38</t>
  </si>
  <si>
    <t>Rectangle 40</t>
  </si>
  <si>
    <t>Group 2746</t>
  </si>
  <si>
    <t>F7</t>
  </si>
  <si>
    <t>Picture 2659</t>
  </si>
  <si>
    <t xml:space="preserve">'Demographic Data'!A38 </t>
  </si>
  <si>
    <t>Juror 4b</t>
  </si>
  <si>
    <t xml:space="preserve">'Demographic Data'!B38 </t>
  </si>
  <si>
    <t>Straight Connector 39</t>
  </si>
  <si>
    <t>TextBox 27</t>
  </si>
  <si>
    <t>Group 2317</t>
  </si>
  <si>
    <t>B11</t>
  </si>
  <si>
    <t>Picture 2656</t>
  </si>
  <si>
    <t xml:space="preserve">'Demographic Data'!A39 </t>
  </si>
  <si>
    <t>Juror 5b</t>
  </si>
  <si>
    <t xml:space="preserve">'Demographic Data'!B39 </t>
  </si>
  <si>
    <t>Rectangle 48</t>
  </si>
  <si>
    <t xml:space="preserve">Juror 5 </t>
  </si>
  <si>
    <t>Straight Connector 49</t>
  </si>
  <si>
    <t>Group 2321</t>
  </si>
  <si>
    <t>F12</t>
  </si>
  <si>
    <t>Picture 2655</t>
  </si>
  <si>
    <t xml:space="preserve">'Demographic Data'!A40 </t>
  </si>
  <si>
    <t>Juror 6b</t>
  </si>
  <si>
    <t xml:space="preserve">'Demographic Data'!B40 </t>
  </si>
  <si>
    <t>Straight Connector 50</t>
  </si>
  <si>
    <t>TextBox 7</t>
  </si>
  <si>
    <t>Group 2334</t>
  </si>
  <si>
    <t>B17</t>
  </si>
  <si>
    <t>Picture 2654</t>
  </si>
  <si>
    <t xml:space="preserve">'Demographic Data'!A41 </t>
  </si>
  <si>
    <t>Juror 7b</t>
  </si>
  <si>
    <t xml:space="preserve">'Demographic Data'!B41 </t>
  </si>
  <si>
    <t>Straight Connector 52</t>
  </si>
  <si>
    <t>TextBox 13</t>
  </si>
  <si>
    <t>Group 2336</t>
  </si>
  <si>
    <t>F17</t>
  </si>
  <si>
    <t>Picture 2653</t>
  </si>
  <si>
    <t xml:space="preserve">'Demographic Data'!A42 </t>
  </si>
  <si>
    <t>Juror 8b</t>
  </si>
  <si>
    <t xml:space="preserve">'Demographic Data'!B42 </t>
  </si>
  <si>
    <t>Straight Connector 51</t>
  </si>
  <si>
    <t>TextBox 15</t>
  </si>
  <si>
    <t>Group 2348</t>
  </si>
  <si>
    <t>B22</t>
  </si>
  <si>
    <t>Picture 2676</t>
  </si>
  <si>
    <t xml:space="preserve">'Demographic Data'!A43 </t>
  </si>
  <si>
    <t>Juror 9b</t>
  </si>
  <si>
    <t xml:space="preserve">'Demographic Data'!B43 </t>
  </si>
  <si>
    <t>Straight Connector 53</t>
  </si>
  <si>
    <t>TextBox 16</t>
  </si>
  <si>
    <t>Group 2350</t>
  </si>
  <si>
    <t>B27</t>
  </si>
  <si>
    <t>Picture 2674</t>
  </si>
  <si>
    <t xml:space="preserve">'Demographic Data'!A45 </t>
  </si>
  <si>
    <t>Juror 11b</t>
  </si>
  <si>
    <t xml:space="preserve">'Demographic Data'!B45 </t>
  </si>
  <si>
    <t>Straight Connector 56</t>
  </si>
  <si>
    <t>TextBox 18</t>
  </si>
  <si>
    <t>Group 2352</t>
  </si>
  <si>
    <t>F27</t>
  </si>
  <si>
    <t>Picture 2673</t>
  </si>
  <si>
    <t>TextBox 55</t>
  </si>
  <si>
    <t>Straight Connector 2691</t>
  </si>
  <si>
    <t xml:space="preserve">'Demographic Data'!B46 </t>
  </si>
  <si>
    <t>Juror 12a</t>
  </si>
  <si>
    <t xml:space="preserve">'Demographic Data'!A46 </t>
  </si>
  <si>
    <t>Group 2354</t>
  </si>
  <si>
    <t>B32</t>
  </si>
  <si>
    <t>Picture 2670</t>
  </si>
  <si>
    <t xml:space="preserve">'Demographic Data'!A47 </t>
  </si>
  <si>
    <t>Juror 13b</t>
  </si>
  <si>
    <t xml:space="preserve">'Demographic Data'!B47 </t>
  </si>
  <si>
    <t>Straight Connector 57</t>
  </si>
  <si>
    <t>TextBox 20</t>
  </si>
  <si>
    <t>Group 2356</t>
  </si>
  <si>
    <t>F32</t>
  </si>
  <si>
    <t>Picture 2669</t>
  </si>
  <si>
    <t xml:space="preserve">'Demographic Data'!A48 </t>
  </si>
  <si>
    <t>Juror 14b</t>
  </si>
  <si>
    <t xml:space="preserve">'Demographic Data'!B48 </t>
  </si>
  <si>
    <t>Straight Connector 58</t>
  </si>
  <si>
    <t>TextBox 21</t>
  </si>
  <si>
    <t>Group 2358</t>
  </si>
  <si>
    <t>B37</t>
  </si>
  <si>
    <t>Picture 2668</t>
  </si>
  <si>
    <t xml:space="preserve">'Demographic Data'!A49 </t>
  </si>
  <si>
    <t>Juror 15b</t>
  </si>
  <si>
    <t xml:space="preserve">'Demographic Data'!B49 </t>
  </si>
  <si>
    <t>Straight Connector 59</t>
  </si>
  <si>
    <t>TextBox 22</t>
  </si>
  <si>
    <t>Group 2360</t>
  </si>
  <si>
    <t>F37</t>
  </si>
  <si>
    <t>Picture 2667</t>
  </si>
  <si>
    <t xml:space="preserve">'Demographic Data'!A50 </t>
  </si>
  <si>
    <t>Juror 16b</t>
  </si>
  <si>
    <t xml:space="preserve">'Demographic Data'!B50 </t>
  </si>
  <si>
    <t>Straight Connector 60</t>
  </si>
  <si>
    <t>TextBox 24</t>
  </si>
  <si>
    <t>Group 2362</t>
  </si>
  <si>
    <t>B42</t>
  </si>
  <si>
    <t>Picture 2690</t>
  </si>
  <si>
    <t xml:space="preserve">'Demographic Data'!A51 </t>
  </si>
  <si>
    <t>Juror 17b</t>
  </si>
  <si>
    <t xml:space="preserve">'Demographic Data'!B51 </t>
  </si>
  <si>
    <t>Straight Connector 62</t>
  </si>
  <si>
    <t>TextBox 25</t>
  </si>
  <si>
    <t>Group 2364</t>
  </si>
  <si>
    <t>F42</t>
  </si>
  <si>
    <t>Picture 2689</t>
  </si>
  <si>
    <t xml:space="preserve">'Demographic Data'!A52 </t>
  </si>
  <si>
    <t>Juror 18b</t>
  </si>
  <si>
    <t xml:space="preserve">'Demographic Data'!B52 </t>
  </si>
  <si>
    <t>Straight Connector 61</t>
  </si>
  <si>
    <t>TextBox 26</t>
  </si>
  <si>
    <t>Group 2366</t>
  </si>
  <si>
    <t>B47</t>
  </si>
  <si>
    <t>Picture 2688</t>
  </si>
  <si>
    <t xml:space="preserve">'Demographic Data'!A53 </t>
  </si>
  <si>
    <t>Juror 19b</t>
  </si>
  <si>
    <t xml:space="preserve">'Demographic Data'!B53 </t>
  </si>
  <si>
    <t>Straight Connector 28</t>
  </si>
  <si>
    <t>TextBox 31</t>
  </si>
  <si>
    <t>Group 2887</t>
  </si>
  <si>
    <t>F47</t>
  </si>
  <si>
    <t>Picture 2687</t>
  </si>
  <si>
    <t xml:space="preserve">'Demographic Data'!A54 </t>
  </si>
  <si>
    <t>Juror 20b</t>
  </si>
  <si>
    <t xml:space="preserve">'Demographic Data'!B54 </t>
  </si>
  <si>
    <t>TextBox 32</t>
  </si>
  <si>
    <t>Straight Connector 30</t>
  </si>
  <si>
    <t>Group 2889</t>
  </si>
  <si>
    <t>B52</t>
  </si>
  <si>
    <t>Picture 2684</t>
  </si>
  <si>
    <t xml:space="preserve">'Demographic Data'!A55 </t>
  </si>
  <si>
    <t>Juror 21b</t>
  </si>
  <si>
    <t xml:space="preserve">'Demographic Data'!B55 </t>
  </si>
  <si>
    <t>Straight Connector 44</t>
  </si>
  <si>
    <t>TextBox 47</t>
  </si>
  <si>
    <t>Group 2891</t>
  </si>
  <si>
    <t>F52</t>
  </si>
  <si>
    <t>Picture 2683</t>
  </si>
  <si>
    <t xml:space="preserve">'Demographic Data'!A56 </t>
  </si>
  <si>
    <t>Juror 22b</t>
  </si>
  <si>
    <t xml:space="preserve">'Demographic Data'!B56 </t>
  </si>
  <si>
    <t>Straight Connector 46</t>
  </si>
  <si>
    <t>TextBox 2692</t>
  </si>
  <si>
    <t xml:space="preserve">'Demographic Data'!A57 </t>
  </si>
  <si>
    <t>Juror 23b</t>
  </si>
  <si>
    <t xml:space="preserve">'Demographic Data'!B57 </t>
  </si>
  <si>
    <t>B61</t>
  </si>
  <si>
    <t>TextBox 2697</t>
  </si>
  <si>
    <t>C60</t>
  </si>
  <si>
    <t>Straight Connector 2696</t>
  </si>
  <si>
    <t>F61</t>
  </si>
  <si>
    <t>Straight Connector 2901</t>
  </si>
  <si>
    <t>F57</t>
  </si>
  <si>
    <t>Straight Connector 2902</t>
  </si>
  <si>
    <t>C61</t>
  </si>
  <si>
    <t>Group 2904</t>
  </si>
  <si>
    <t>Picture 2681</t>
  </si>
  <si>
    <t>Juror 24b</t>
  </si>
  <si>
    <t xml:space="preserve">'Demographic Data'!B58 </t>
  </si>
  <si>
    <t>TextBox 2698</t>
  </si>
  <si>
    <t xml:space="preserve">'Demographic Data'!A58 </t>
  </si>
  <si>
    <t>Straight Connector 2694</t>
  </si>
  <si>
    <t>Group 2906</t>
  </si>
  <si>
    <t>B62</t>
  </si>
  <si>
    <t>Picture 1</t>
  </si>
  <si>
    <t xml:space="preserve">'Demographic Data'!B59 </t>
  </si>
  <si>
    <t>Straight Connector 2700</t>
  </si>
  <si>
    <t>TextBox 2703</t>
  </si>
  <si>
    <t>Juror 25a</t>
  </si>
  <si>
    <t xml:space="preserve">'Demographic Data'!A59 </t>
  </si>
  <si>
    <t>Group 2908</t>
  </si>
  <si>
    <t>F62</t>
  </si>
  <si>
    <t>Picture 19</t>
  </si>
  <si>
    <t xml:space="preserve">'Demographic Data'!B60 </t>
  </si>
  <si>
    <t>Straight Connector 2702</t>
  </si>
  <si>
    <t>TextBox 2704</t>
  </si>
  <si>
    <t>Juror 26a</t>
  </si>
  <si>
    <t xml:space="preserve">'Demographic Data'!A60 </t>
  </si>
  <si>
    <t>Juror 27b</t>
  </si>
  <si>
    <t xml:space="preserve">'Demographic Data'!B61 </t>
  </si>
  <si>
    <t>B71</t>
  </si>
  <si>
    <t>TextBox 2707</t>
  </si>
  <si>
    <t>C70</t>
  </si>
  <si>
    <t>Juror 27a</t>
  </si>
  <si>
    <t xml:space="preserve">'Demographic Data'!A61 </t>
  </si>
  <si>
    <t>Straight Connector 2921</t>
  </si>
  <si>
    <t>C71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</si>
</sst>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\-##"/>
  </numFmts>
  <fonts count="11" x14ac:knownFonts="1">
    <font>
      <sz val="12"/>
      <color theme="1"/>
      <name val="Raleway"/>
      <family val="2"/>
    </font>
    <font>
      <b/>
      <sz val="11"/>
      <color theme="0"/>
      <name val="Raleway"/>
    </font>
    <font>
      <b/>
      <sz val="11"/>
      <color theme="0"/>
      <name val="Raleway"/>
      <family val="2"/>
    </font>
    <font>
      <sz val="11"/>
      <color theme="1"/>
      <name val="Raleway"/>
    </font>
    <font>
      <sz val="11"/>
      <color rgb="FF000000"/>
      <name val="Raleway"/>
    </font>
    <font>
      <sz val="11"/>
      <color rgb="FF000000"/>
      <name val="Raleway"/>
      <family val="2"/>
    </font>
    <font>
      <sz val="12"/>
      <color theme="1"/>
      <name val="Raleway"/>
    </font>
    <font>
      <sz val="12"/>
      <color rgb="FF000000"/>
      <name val="Raleway"/>
    </font>
    <font>
      <sz val="12"/>
      <color theme="0"/>
      <name val="Raleway"/>
      <family val="2"/>
    </font>
    <font>
      <sz val="8"/>
      <name val="Raleway"/>
      <family val="2"/>
    </font>
    <font>
      <b/>
      <sz val="18"/>
      <name val="Raleway"/>
    </font>
  </fonts>
  <fills count="7">
    <fill>
      <patternFill patternType="none"/>
    </fill>
    <fill>
      <patternFill patternType="gray125"/>
    </fill>
    <fill>
      <patternFill patternType="solid">
        <fgColor rgb="FF4B7075"/>
        <bgColor rgb="FF0070C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49" fontId="1" fillId="2" borderId="0" xfId="0" applyNumberFormat="1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4" fillId="3" borderId="0" xfId="0" applyFont="1" applyFill="1" applyAlignment="1">
      <alignment horizontal="left"/>
    </xf>
    <xf numFmtId="14" fontId="4" fillId="3" borderId="0" xfId="0" applyNumberFormat="1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3" fillId="0" borderId="0" xfId="0" applyFont="1"/>
    <xf numFmtId="0" fontId="6" fillId="0" borderId="0" xfId="0" applyFont="1"/>
    <xf numFmtId="1" fontId="6" fillId="0" borderId="0" xfId="0" applyNumberFormat="1" applyFont="1"/>
    <xf numFmtId="0" fontId="6" fillId="4" borderId="2" xfId="0" applyFont="1" applyFill="1" applyBorder="1"/>
    <xf numFmtId="0" fontId="6" fillId="0" borderId="2" xfId="0" applyFont="1" applyBorder="1"/>
    <xf numFmtId="0" fontId="5" fillId="0" borderId="0" xfId="0" applyFont="1" applyAlignment="1">
      <alignment horizontal="left"/>
    </xf>
    <xf numFmtId="0" fontId="8" fillId="0" borderId="0" xfId="0" applyFont="1"/>
    <xf numFmtId="49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8" fillId="0" borderId="3" xfId="0" applyFont="1" applyBorder="1"/>
    <xf numFmtId="164" fontId="0" fillId="0" borderId="0" xfId="0" applyNumberFormat="1"/>
    <xf numFmtId="1" fontId="0" fillId="0" borderId="0" xfId="0" applyNumberFormat="1"/>
    <xf numFmtId="0" fontId="4" fillId="0" borderId="0" xfId="0" applyFont="1" applyAlignment="1">
      <alignment horizontal="left"/>
    </xf>
    <xf numFmtId="0" fontId="4" fillId="6" borderId="0" xfId="0" applyFont="1" applyFill="1" applyAlignment="1">
      <alignment horizontal="left"/>
    </xf>
    <xf numFmtId="0" fontId="0" fillId="0" borderId="0" xfId="0" quotePrefix="1"/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aleway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2"/>
        <name val="Raleway"/>
        <scheme val="none"/>
      </font>
    </dxf>
    <dxf>
      <font>
        <strike val="0"/>
        <outline val="0"/>
        <shadow val="0"/>
        <u val="none"/>
        <vertAlign val="baseline"/>
        <sz val="12"/>
        <name val="Raleway"/>
        <scheme val="none"/>
      </font>
    </dxf>
    <dxf>
      <font>
        <strike val="0"/>
        <outline val="0"/>
        <shadow val="0"/>
        <u val="none"/>
        <vertAlign val="baseline"/>
        <sz val="12"/>
        <name val="Raleway"/>
        <scheme val="none"/>
      </font>
    </dxf>
    <dxf>
      <font>
        <strike val="0"/>
        <outline val="0"/>
        <shadow val="0"/>
        <u val="none"/>
        <vertAlign val="baseline"/>
        <sz val="12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Raleway"/>
        <scheme val="none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Raleway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Raleway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Raleway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Raleway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right style="thin">
          <color rgb="FF000000"/>
        </right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name val="Raleway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aleway"/>
        <scheme val="none"/>
      </font>
      <numFmt numFmtId="30" formatCode="@"/>
      <fill>
        <patternFill patternType="solid">
          <fgColor rgb="FF0070C0"/>
          <bgColor rgb="FF4B707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1E1F21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" Type="http://schemas.openxmlformats.org/officeDocument/2006/relationships/image" Target="../media/image3.jpeg"/><Relationship Id="rId21" Type="http://schemas.openxmlformats.org/officeDocument/2006/relationships/image" Target="../media/image21.jpeg"/><Relationship Id="rId34" Type="http://schemas.openxmlformats.org/officeDocument/2006/relationships/image" Target="../media/image34.pn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pn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29" Type="http://schemas.openxmlformats.org/officeDocument/2006/relationships/image" Target="../media/image29.pn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pn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pn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633413</xdr:colOff>
          <xdr:row>29</xdr:row>
          <xdr:rowOff>0</xdr:rowOff>
        </xdr:from>
        <xdr:to>
          <xdr:col>2</xdr:col>
          <xdr:colOff>1052513</xdr:colOff>
          <xdr:row>30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aleway"/>
                </a:rPr>
                <a:t>Reduce EDUCATION VALUES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1166813</xdr:colOff>
          <xdr:row>29</xdr:row>
          <xdr:rowOff>0</xdr:rowOff>
        </xdr:from>
        <xdr:to>
          <xdr:col>2</xdr:col>
          <xdr:colOff>2271713</xdr:colOff>
          <xdr:row>30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aleway"/>
                </a:rPr>
                <a:t>Reduce EMPLOYMENT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23813</xdr:colOff>
          <xdr:row>29</xdr:row>
          <xdr:rowOff>0</xdr:rowOff>
        </xdr:from>
        <xdr:to>
          <xdr:col>5</xdr:col>
          <xdr:colOff>519113</xdr:colOff>
          <xdr:row>30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aleway"/>
                </a:rPr>
                <a:t>Reduce HOUSEHOLD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29</xdr:row>
          <xdr:rowOff>0</xdr:rowOff>
        </xdr:from>
        <xdr:to>
          <xdr:col>3</xdr:col>
          <xdr:colOff>1143000</xdr:colOff>
          <xdr:row>30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aleway"/>
                </a:rPr>
                <a:t>Reduce MARITAL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29</xdr:row>
          <xdr:rowOff>0</xdr:rowOff>
        </xdr:from>
        <xdr:to>
          <xdr:col>6</xdr:col>
          <xdr:colOff>976313</xdr:colOff>
          <xdr:row>30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aleway"/>
                </a:rPr>
                <a:t>Reduce RACE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1090613</xdr:colOff>
          <xdr:row>29</xdr:row>
          <xdr:rowOff>0</xdr:rowOff>
        </xdr:from>
        <xdr:to>
          <xdr:col>7</xdr:col>
          <xdr:colOff>862013</xdr:colOff>
          <xdr:row>30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aleway"/>
                </a:rPr>
                <a:t>Highlight Long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976313</xdr:colOff>
          <xdr:row>29</xdr:row>
          <xdr:rowOff>0</xdr:rowOff>
        </xdr:from>
        <xdr:to>
          <xdr:col>7</xdr:col>
          <xdr:colOff>2081213</xdr:colOff>
          <xdr:row>30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aleway"/>
                </a:rPr>
                <a:t>Remove Highligts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164210</xdr:colOff>
      <xdr:row>67</xdr:row>
      <xdr:rowOff>137377</xdr:rowOff>
    </xdr:from>
    <xdr:to>
      <xdr:col>2</xdr:col>
      <xdr:colOff>1874138</xdr:colOff>
      <xdr:row>69</xdr:row>
      <xdr:rowOff>600809</xdr:rowOff>
    </xdr:to>
    <xdr:pic>
      <xdr:nvPicPr>
        <xdr:cNvPr id="2320" name="Juror 27">
          <a:extLst>
            <a:ext uri="{FF2B5EF4-FFF2-40B4-BE49-F238E27FC236}">
              <a16:creationId xmlns:a16="http://schemas.microsoft.com/office/drawing/2014/main" id="{F0003CDD-AB31-4517-6079-351E9A08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37434556"/>
          <a:ext cx="1709928" cy="1912593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62</xdr:row>
      <xdr:rowOff>137377</xdr:rowOff>
    </xdr:from>
    <xdr:to>
      <xdr:col>5</xdr:col>
      <xdr:colOff>1874138</xdr:colOff>
      <xdr:row>64</xdr:row>
      <xdr:rowOff>600808</xdr:rowOff>
    </xdr:to>
    <xdr:pic>
      <xdr:nvPicPr>
        <xdr:cNvPr id="2317" name="Juror 26">
          <a:extLst>
            <a:ext uri="{FF2B5EF4-FFF2-40B4-BE49-F238E27FC236}">
              <a16:creationId xmlns:a16="http://schemas.microsoft.com/office/drawing/2014/main" id="{87885618-034C-F6C4-8208-1198952D7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34679110"/>
          <a:ext cx="1709928" cy="1912591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62</xdr:row>
      <xdr:rowOff>137377</xdr:rowOff>
    </xdr:from>
    <xdr:to>
      <xdr:col>2</xdr:col>
      <xdr:colOff>1874138</xdr:colOff>
      <xdr:row>64</xdr:row>
      <xdr:rowOff>600808</xdr:rowOff>
    </xdr:to>
    <xdr:pic>
      <xdr:nvPicPr>
        <xdr:cNvPr id="2315" name="Juror 25">
          <a:extLst>
            <a:ext uri="{FF2B5EF4-FFF2-40B4-BE49-F238E27FC236}">
              <a16:creationId xmlns:a16="http://schemas.microsoft.com/office/drawing/2014/main" id="{D2D95308-C095-08C0-7AC5-F6C397A84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34679110"/>
          <a:ext cx="1709928" cy="1912591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57</xdr:row>
      <xdr:rowOff>137377</xdr:rowOff>
    </xdr:from>
    <xdr:to>
      <xdr:col>5</xdr:col>
      <xdr:colOff>1874138</xdr:colOff>
      <xdr:row>59</xdr:row>
      <xdr:rowOff>600809</xdr:rowOff>
    </xdr:to>
    <xdr:pic>
      <xdr:nvPicPr>
        <xdr:cNvPr id="2313" name="Juror 24">
          <a:extLst>
            <a:ext uri="{FF2B5EF4-FFF2-40B4-BE49-F238E27FC236}">
              <a16:creationId xmlns:a16="http://schemas.microsoft.com/office/drawing/2014/main" id="{75652C8A-08F3-5F41-A437-00EC3A1C0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31923663"/>
          <a:ext cx="1709928" cy="1912593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57</xdr:row>
      <xdr:rowOff>137377</xdr:rowOff>
    </xdr:from>
    <xdr:to>
      <xdr:col>2</xdr:col>
      <xdr:colOff>1874138</xdr:colOff>
      <xdr:row>59</xdr:row>
      <xdr:rowOff>600809</xdr:rowOff>
    </xdr:to>
    <xdr:pic>
      <xdr:nvPicPr>
        <xdr:cNvPr id="2311" name="Juror 23">
          <a:extLst>
            <a:ext uri="{FF2B5EF4-FFF2-40B4-BE49-F238E27FC236}">
              <a16:creationId xmlns:a16="http://schemas.microsoft.com/office/drawing/2014/main" id="{DCDD509A-DB07-948F-9B8C-DA0E3DDF4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31923663"/>
          <a:ext cx="1709928" cy="1912593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52</xdr:row>
      <xdr:rowOff>137378</xdr:rowOff>
    </xdr:from>
    <xdr:to>
      <xdr:col>5</xdr:col>
      <xdr:colOff>1874138</xdr:colOff>
      <xdr:row>54</xdr:row>
      <xdr:rowOff>600809</xdr:rowOff>
    </xdr:to>
    <xdr:pic>
      <xdr:nvPicPr>
        <xdr:cNvPr id="2309" name="Juror 22">
          <a:extLst>
            <a:ext uri="{FF2B5EF4-FFF2-40B4-BE49-F238E27FC236}">
              <a16:creationId xmlns:a16="http://schemas.microsoft.com/office/drawing/2014/main" id="{CBE3BA77-8F2B-4098-3A8C-6B8CC8A95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29168218"/>
          <a:ext cx="1709928" cy="1912591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52</xdr:row>
      <xdr:rowOff>137378</xdr:rowOff>
    </xdr:from>
    <xdr:to>
      <xdr:col>2</xdr:col>
      <xdr:colOff>1874138</xdr:colOff>
      <xdr:row>54</xdr:row>
      <xdr:rowOff>600809</xdr:rowOff>
    </xdr:to>
    <xdr:pic>
      <xdr:nvPicPr>
        <xdr:cNvPr id="2307" name="Juror 21">
          <a:extLst>
            <a:ext uri="{FF2B5EF4-FFF2-40B4-BE49-F238E27FC236}">
              <a16:creationId xmlns:a16="http://schemas.microsoft.com/office/drawing/2014/main" id="{B9A7458A-C26F-5A28-4C7B-BC6C893DD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29168218"/>
          <a:ext cx="1709928" cy="1912591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47</xdr:row>
      <xdr:rowOff>137377</xdr:rowOff>
    </xdr:from>
    <xdr:to>
      <xdr:col>5</xdr:col>
      <xdr:colOff>1874138</xdr:colOff>
      <xdr:row>49</xdr:row>
      <xdr:rowOff>600809</xdr:rowOff>
    </xdr:to>
    <xdr:pic>
      <xdr:nvPicPr>
        <xdr:cNvPr id="2305" name="Juror 20">
          <a:extLst>
            <a:ext uri="{FF2B5EF4-FFF2-40B4-BE49-F238E27FC236}">
              <a16:creationId xmlns:a16="http://schemas.microsoft.com/office/drawing/2014/main" id="{8D3A2FD0-2DA3-60F9-BD86-2FAD78D35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26412770"/>
          <a:ext cx="1709928" cy="1912593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47</xdr:row>
      <xdr:rowOff>137377</xdr:rowOff>
    </xdr:from>
    <xdr:to>
      <xdr:col>2</xdr:col>
      <xdr:colOff>1874138</xdr:colOff>
      <xdr:row>49</xdr:row>
      <xdr:rowOff>600809</xdr:rowOff>
    </xdr:to>
    <xdr:pic>
      <xdr:nvPicPr>
        <xdr:cNvPr id="2751" name="Juror 19">
          <a:extLst>
            <a:ext uri="{FF2B5EF4-FFF2-40B4-BE49-F238E27FC236}">
              <a16:creationId xmlns:a16="http://schemas.microsoft.com/office/drawing/2014/main" id="{7EB2C7F8-D9CF-D3FE-AF3C-72DB8864F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26412770"/>
          <a:ext cx="1709928" cy="1912593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42</xdr:row>
      <xdr:rowOff>137376</xdr:rowOff>
    </xdr:from>
    <xdr:to>
      <xdr:col>5</xdr:col>
      <xdr:colOff>1874138</xdr:colOff>
      <xdr:row>44</xdr:row>
      <xdr:rowOff>600807</xdr:rowOff>
    </xdr:to>
    <xdr:pic>
      <xdr:nvPicPr>
        <xdr:cNvPr id="2748" name="Juror 18">
          <a:extLst>
            <a:ext uri="{FF2B5EF4-FFF2-40B4-BE49-F238E27FC236}">
              <a16:creationId xmlns:a16="http://schemas.microsoft.com/office/drawing/2014/main" id="{B42A5C0A-0123-2B8C-D270-3470499C4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23657323"/>
          <a:ext cx="1709928" cy="1912591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42</xdr:row>
      <xdr:rowOff>137376</xdr:rowOff>
    </xdr:from>
    <xdr:to>
      <xdr:col>2</xdr:col>
      <xdr:colOff>1874138</xdr:colOff>
      <xdr:row>44</xdr:row>
      <xdr:rowOff>600807</xdr:rowOff>
    </xdr:to>
    <xdr:pic>
      <xdr:nvPicPr>
        <xdr:cNvPr id="2745" name="Juror 17">
          <a:extLst>
            <a:ext uri="{FF2B5EF4-FFF2-40B4-BE49-F238E27FC236}">
              <a16:creationId xmlns:a16="http://schemas.microsoft.com/office/drawing/2014/main" id="{1C4D9E70-D897-9952-65E4-40EFF77C1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23657323"/>
          <a:ext cx="1709928" cy="1912591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37</xdr:row>
      <xdr:rowOff>137376</xdr:rowOff>
    </xdr:from>
    <xdr:to>
      <xdr:col>5</xdr:col>
      <xdr:colOff>1874138</xdr:colOff>
      <xdr:row>39</xdr:row>
      <xdr:rowOff>600808</xdr:rowOff>
    </xdr:to>
    <xdr:pic>
      <xdr:nvPicPr>
        <xdr:cNvPr id="2741" name="Juror 16">
          <a:extLst>
            <a:ext uri="{FF2B5EF4-FFF2-40B4-BE49-F238E27FC236}">
              <a16:creationId xmlns:a16="http://schemas.microsoft.com/office/drawing/2014/main" id="{A1435406-04E3-333E-D852-CB0183135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20901876"/>
          <a:ext cx="1709928" cy="1912593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37</xdr:row>
      <xdr:rowOff>137376</xdr:rowOff>
    </xdr:from>
    <xdr:to>
      <xdr:col>2</xdr:col>
      <xdr:colOff>1874138</xdr:colOff>
      <xdr:row>39</xdr:row>
      <xdr:rowOff>600808</xdr:rowOff>
    </xdr:to>
    <xdr:pic>
      <xdr:nvPicPr>
        <xdr:cNvPr id="2737" name="Juror 15">
          <a:extLst>
            <a:ext uri="{FF2B5EF4-FFF2-40B4-BE49-F238E27FC236}">
              <a16:creationId xmlns:a16="http://schemas.microsoft.com/office/drawing/2014/main" id="{D27920A3-C02F-14C3-5E43-13D557259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20901876"/>
          <a:ext cx="1709928" cy="1912593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32</xdr:row>
      <xdr:rowOff>137377</xdr:rowOff>
    </xdr:from>
    <xdr:to>
      <xdr:col>5</xdr:col>
      <xdr:colOff>1874138</xdr:colOff>
      <xdr:row>34</xdr:row>
      <xdr:rowOff>600808</xdr:rowOff>
    </xdr:to>
    <xdr:pic>
      <xdr:nvPicPr>
        <xdr:cNvPr id="2731" name="Juror 14">
          <a:extLst>
            <a:ext uri="{FF2B5EF4-FFF2-40B4-BE49-F238E27FC236}">
              <a16:creationId xmlns:a16="http://schemas.microsoft.com/office/drawing/2014/main" id="{A893CF23-7FAF-45F7-F301-A4B03CBE6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18146431"/>
          <a:ext cx="1709928" cy="1912591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32</xdr:row>
      <xdr:rowOff>137377</xdr:rowOff>
    </xdr:from>
    <xdr:to>
      <xdr:col>2</xdr:col>
      <xdr:colOff>1874138</xdr:colOff>
      <xdr:row>34</xdr:row>
      <xdr:rowOff>600808</xdr:rowOff>
    </xdr:to>
    <xdr:pic>
      <xdr:nvPicPr>
        <xdr:cNvPr id="2727" name="Juror 13">
          <a:extLst>
            <a:ext uri="{FF2B5EF4-FFF2-40B4-BE49-F238E27FC236}">
              <a16:creationId xmlns:a16="http://schemas.microsoft.com/office/drawing/2014/main" id="{F48FBF6B-BF39-CBEC-E326-7E849CCB2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18146431"/>
          <a:ext cx="1709928" cy="1912591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27</xdr:row>
      <xdr:rowOff>137376</xdr:rowOff>
    </xdr:from>
    <xdr:to>
      <xdr:col>5</xdr:col>
      <xdr:colOff>1874138</xdr:colOff>
      <xdr:row>29</xdr:row>
      <xdr:rowOff>600808</xdr:rowOff>
    </xdr:to>
    <xdr:pic>
      <xdr:nvPicPr>
        <xdr:cNvPr id="2723" name="Juror 12">
          <a:extLst>
            <a:ext uri="{FF2B5EF4-FFF2-40B4-BE49-F238E27FC236}">
              <a16:creationId xmlns:a16="http://schemas.microsoft.com/office/drawing/2014/main" id="{C1D54476-76F0-45CC-2311-3EA2894FA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15390983"/>
          <a:ext cx="1709928" cy="1912594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27</xdr:row>
      <xdr:rowOff>137376</xdr:rowOff>
    </xdr:from>
    <xdr:to>
      <xdr:col>2</xdr:col>
      <xdr:colOff>1874138</xdr:colOff>
      <xdr:row>29</xdr:row>
      <xdr:rowOff>600808</xdr:rowOff>
    </xdr:to>
    <xdr:pic>
      <xdr:nvPicPr>
        <xdr:cNvPr id="2721" name="Juror 11">
          <a:extLst>
            <a:ext uri="{FF2B5EF4-FFF2-40B4-BE49-F238E27FC236}">
              <a16:creationId xmlns:a16="http://schemas.microsoft.com/office/drawing/2014/main" id="{C3F8EDA8-1B90-A807-06D4-C9E14DB0F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15390983"/>
          <a:ext cx="1709928" cy="1912594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22</xdr:row>
      <xdr:rowOff>137376</xdr:rowOff>
    </xdr:from>
    <xdr:to>
      <xdr:col>5</xdr:col>
      <xdr:colOff>1874138</xdr:colOff>
      <xdr:row>24</xdr:row>
      <xdr:rowOff>600807</xdr:rowOff>
    </xdr:to>
    <xdr:pic>
      <xdr:nvPicPr>
        <xdr:cNvPr id="2719" name="Juror 10">
          <a:extLst>
            <a:ext uri="{FF2B5EF4-FFF2-40B4-BE49-F238E27FC236}">
              <a16:creationId xmlns:a16="http://schemas.microsoft.com/office/drawing/2014/main" id="{E2D2BE82-1CF1-9AC3-B34A-E5BA2AFAA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12635537"/>
          <a:ext cx="1709928" cy="1912591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22</xdr:row>
      <xdr:rowOff>137376</xdr:rowOff>
    </xdr:from>
    <xdr:to>
      <xdr:col>2</xdr:col>
      <xdr:colOff>1874138</xdr:colOff>
      <xdr:row>24</xdr:row>
      <xdr:rowOff>600807</xdr:rowOff>
    </xdr:to>
    <xdr:pic>
      <xdr:nvPicPr>
        <xdr:cNvPr id="2715" name="Juror 9">
          <a:extLst>
            <a:ext uri="{FF2B5EF4-FFF2-40B4-BE49-F238E27FC236}">
              <a16:creationId xmlns:a16="http://schemas.microsoft.com/office/drawing/2014/main" id="{E05652BD-368E-99F0-CE08-D2819BA78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12635537"/>
          <a:ext cx="1709928" cy="1912591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17</xdr:row>
      <xdr:rowOff>137376</xdr:rowOff>
    </xdr:from>
    <xdr:to>
      <xdr:col>5</xdr:col>
      <xdr:colOff>1874138</xdr:colOff>
      <xdr:row>19</xdr:row>
      <xdr:rowOff>600808</xdr:rowOff>
    </xdr:to>
    <xdr:pic>
      <xdr:nvPicPr>
        <xdr:cNvPr id="2712" name="Juror 8">
          <a:extLst>
            <a:ext uri="{FF2B5EF4-FFF2-40B4-BE49-F238E27FC236}">
              <a16:creationId xmlns:a16="http://schemas.microsoft.com/office/drawing/2014/main" id="{7BC30AF5-61B5-7DD8-B74A-BFCF6BE13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9880090"/>
          <a:ext cx="1709928" cy="1912594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17</xdr:row>
      <xdr:rowOff>137376</xdr:rowOff>
    </xdr:from>
    <xdr:to>
      <xdr:col>2</xdr:col>
      <xdr:colOff>1874138</xdr:colOff>
      <xdr:row>19</xdr:row>
      <xdr:rowOff>600808</xdr:rowOff>
    </xdr:to>
    <xdr:pic>
      <xdr:nvPicPr>
        <xdr:cNvPr id="2709" name="Juror 7">
          <a:extLst>
            <a:ext uri="{FF2B5EF4-FFF2-40B4-BE49-F238E27FC236}">
              <a16:creationId xmlns:a16="http://schemas.microsoft.com/office/drawing/2014/main" id="{EE962AFC-DFA1-EBF2-9577-743841703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9880090"/>
          <a:ext cx="1709928" cy="1912594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12</xdr:row>
      <xdr:rowOff>137377</xdr:rowOff>
    </xdr:from>
    <xdr:to>
      <xdr:col>5</xdr:col>
      <xdr:colOff>1874138</xdr:colOff>
      <xdr:row>14</xdr:row>
      <xdr:rowOff>600808</xdr:rowOff>
    </xdr:to>
    <xdr:pic>
      <xdr:nvPicPr>
        <xdr:cNvPr id="2706" name="Juror 6">
          <a:extLst>
            <a:ext uri="{FF2B5EF4-FFF2-40B4-BE49-F238E27FC236}">
              <a16:creationId xmlns:a16="http://schemas.microsoft.com/office/drawing/2014/main" id="{14FA797A-A7FA-D477-2500-E39399CC5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7124646"/>
          <a:ext cx="1709928" cy="1912591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12</xdr:row>
      <xdr:rowOff>137377</xdr:rowOff>
    </xdr:from>
    <xdr:to>
      <xdr:col>2</xdr:col>
      <xdr:colOff>1874138</xdr:colOff>
      <xdr:row>14</xdr:row>
      <xdr:rowOff>600808</xdr:rowOff>
    </xdr:to>
    <xdr:pic>
      <xdr:nvPicPr>
        <xdr:cNvPr id="2694" name="Juror 5">
          <a:extLst>
            <a:ext uri="{FF2B5EF4-FFF2-40B4-BE49-F238E27FC236}">
              <a16:creationId xmlns:a16="http://schemas.microsoft.com/office/drawing/2014/main" id="{055E74BA-2B27-7EC6-24D4-33361E940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7124646"/>
          <a:ext cx="1709928" cy="1912591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7</xdr:row>
      <xdr:rowOff>137376</xdr:rowOff>
    </xdr:from>
    <xdr:to>
      <xdr:col>5</xdr:col>
      <xdr:colOff>1874138</xdr:colOff>
      <xdr:row>9</xdr:row>
      <xdr:rowOff>600808</xdr:rowOff>
    </xdr:to>
    <xdr:pic>
      <xdr:nvPicPr>
        <xdr:cNvPr id="34" name="Juror 4">
          <a:extLst>
            <a:ext uri="{FF2B5EF4-FFF2-40B4-BE49-F238E27FC236}">
              <a16:creationId xmlns:a16="http://schemas.microsoft.com/office/drawing/2014/main" id="{7EF1B3E6-1DEF-0856-590E-FD681E21C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4369197"/>
          <a:ext cx="1709928" cy="1912594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7</xdr:row>
      <xdr:rowOff>137376</xdr:rowOff>
    </xdr:from>
    <xdr:to>
      <xdr:col>2</xdr:col>
      <xdr:colOff>1874138</xdr:colOff>
      <xdr:row>9</xdr:row>
      <xdr:rowOff>600808</xdr:rowOff>
    </xdr:to>
    <xdr:pic>
      <xdr:nvPicPr>
        <xdr:cNvPr id="11" name="Juror 3">
          <a:extLst>
            <a:ext uri="{FF2B5EF4-FFF2-40B4-BE49-F238E27FC236}">
              <a16:creationId xmlns:a16="http://schemas.microsoft.com/office/drawing/2014/main" id="{F869B96A-F097-4FDD-9B7A-DC76BB92E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4369197"/>
          <a:ext cx="1709928" cy="1912594"/>
        </a:xfrm>
        <a:prstGeom prst="rect">
          <a:avLst/>
        </a:prstGeom>
      </xdr:spPr>
    </xdr:pic>
    <xdr:clientData/>
  </xdr:twoCellAnchor>
  <xdr:twoCellAnchor>
    <xdr:from>
      <xdr:col>5</xdr:col>
      <xdr:colOff>164210</xdr:colOff>
      <xdr:row>2</xdr:row>
      <xdr:rowOff>137378</xdr:rowOff>
    </xdr:from>
    <xdr:to>
      <xdr:col>5</xdr:col>
      <xdr:colOff>1874138</xdr:colOff>
      <xdr:row>4</xdr:row>
      <xdr:rowOff>600809</xdr:rowOff>
    </xdr:to>
    <xdr:pic>
      <xdr:nvPicPr>
        <xdr:cNvPr id="9" name="Juror 2">
          <a:extLst>
            <a:ext uri="{FF2B5EF4-FFF2-40B4-BE49-F238E27FC236}">
              <a16:creationId xmlns:a16="http://schemas.microsoft.com/office/drawing/2014/main" id="{91A4E461-5DE0-32A2-7944-9915607F3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5139" y="1613754"/>
          <a:ext cx="1709928" cy="1912591"/>
        </a:xfrm>
        <a:prstGeom prst="rect">
          <a:avLst/>
        </a:prstGeom>
      </xdr:spPr>
    </xdr:pic>
    <xdr:clientData/>
  </xdr:twoCellAnchor>
  <xdr:twoCellAnchor>
    <xdr:from>
      <xdr:col>2</xdr:col>
      <xdr:colOff>164210</xdr:colOff>
      <xdr:row>2</xdr:row>
      <xdr:rowOff>137378</xdr:rowOff>
    </xdr:from>
    <xdr:to>
      <xdr:col>2</xdr:col>
      <xdr:colOff>1874138</xdr:colOff>
      <xdr:row>4</xdr:row>
      <xdr:rowOff>600809</xdr:rowOff>
    </xdr:to>
    <xdr:pic>
      <xdr:nvPicPr>
        <xdr:cNvPr id="5" name="Juror 1">
          <a:extLst>
            <a:ext uri="{FF2B5EF4-FFF2-40B4-BE49-F238E27FC236}">
              <a16:creationId xmlns:a16="http://schemas.microsoft.com/office/drawing/2014/main" id="{85DD94D4-72B5-D3A8-8C23-6D0F6C0ED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2639" y="1613754"/>
          <a:ext cx="1709928" cy="1912591"/>
        </a:xfrm>
        <a:prstGeom prst="rect">
          <a:avLst/>
        </a:prstGeom>
      </xdr:spPr>
    </xdr:pic>
    <xdr:clientData/>
  </xdr:twoCellAnchor>
  <xdr:twoCellAnchor>
    <xdr:from>
      <xdr:col>1</xdr:col>
      <xdr:colOff>69850</xdr:colOff>
      <xdr:row>66</xdr:row>
      <xdr:rowOff>38735</xdr:rowOff>
    </xdr:from>
    <xdr:to>
      <xdr:col>3</xdr:col>
      <xdr:colOff>2174633</xdr:colOff>
      <xdr:row>70</xdr:row>
      <xdr:rowOff>457381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E8C298E2-16B4-4E9F-A080-6C27A2309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600" y="37281485"/>
          <a:ext cx="4295533" cy="2568575"/>
        </a:xfrm>
        <a:prstGeom prst="rect">
          <a:avLst/>
        </a:prstGeom>
      </xdr:spPr>
    </xdr:pic>
    <xdr:clientData/>
  </xdr:twoCellAnchor>
  <xdr:twoCellAnchor>
    <xdr:from>
      <xdr:col>1</xdr:col>
      <xdr:colOff>69850</xdr:colOff>
      <xdr:row>56</xdr:row>
      <xdr:rowOff>39098</xdr:rowOff>
    </xdr:from>
    <xdr:to>
      <xdr:col>3</xdr:col>
      <xdr:colOff>2174633</xdr:colOff>
      <xdr:row>60</xdr:row>
      <xdr:rowOff>457744</xdr:rowOff>
    </xdr:to>
    <xdr:pic>
      <xdr:nvPicPr>
        <xdr:cNvPr id="2683" name="Picture 2682">
          <a:extLst>
            <a:ext uri="{FF2B5EF4-FFF2-40B4-BE49-F238E27FC236}">
              <a16:creationId xmlns:a16="http://schemas.microsoft.com/office/drawing/2014/main" id="{681247DA-BA68-DE8B-B27F-F56580FBC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600" y="31770955"/>
          <a:ext cx="4295533" cy="2568575"/>
        </a:xfrm>
        <a:prstGeom prst="rect">
          <a:avLst/>
        </a:prstGeom>
      </xdr:spPr>
    </xdr:pic>
    <xdr:clientData/>
  </xdr:twoCellAnchor>
  <xdr:twoCellAnchor>
    <xdr:from>
      <xdr:col>5</xdr:col>
      <xdr:colOff>72571</xdr:colOff>
      <xdr:row>21</xdr:row>
      <xdr:rowOff>40368</xdr:rowOff>
    </xdr:from>
    <xdr:to>
      <xdr:col>6</xdr:col>
      <xdr:colOff>2399392</xdr:colOff>
      <xdr:row>25</xdr:row>
      <xdr:rowOff>469048</xdr:rowOff>
    </xdr:to>
    <xdr:pic>
      <xdr:nvPicPr>
        <xdr:cNvPr id="2676" name="Picture 2675">
          <a:extLst>
            <a:ext uri="{FF2B5EF4-FFF2-40B4-BE49-F238E27FC236}">
              <a16:creationId xmlns:a16="http://schemas.microsoft.com/office/drawing/2014/main" id="{EFADEB69-5D9E-27B0-802C-ADAF889E5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2484101"/>
          <a:ext cx="4367892" cy="25786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23813</xdr:colOff>
          <xdr:row>0</xdr:row>
          <xdr:rowOff>100013</xdr:rowOff>
        </xdr:from>
        <xdr:to>
          <xdr:col>11</xdr:col>
          <xdr:colOff>90488</xdr:colOff>
          <xdr:row>0</xdr:row>
          <xdr:rowOff>557213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Raleway"/>
                </a:rPr>
                <a:t>Rename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23813</xdr:colOff>
          <xdr:row>0</xdr:row>
          <xdr:rowOff>671513</xdr:rowOff>
        </xdr:from>
        <xdr:to>
          <xdr:col>11</xdr:col>
          <xdr:colOff>76200</xdr:colOff>
          <xdr:row>1</xdr:row>
          <xdr:rowOff>52388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Raleway"/>
                </a:rPr>
                <a:t>Center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23813</xdr:colOff>
          <xdr:row>1</xdr:row>
          <xdr:rowOff>166688</xdr:rowOff>
        </xdr:from>
        <xdr:to>
          <xdr:col>11</xdr:col>
          <xdr:colOff>90488</xdr:colOff>
          <xdr:row>2</xdr:row>
          <xdr:rowOff>223838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Raleway"/>
                </a:rPr>
                <a:t>Resize pics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122917</xdr:colOff>
      <xdr:row>22</xdr:row>
      <xdr:rowOff>4850</xdr:rowOff>
    </xdr:from>
    <xdr:to>
      <xdr:col>6</xdr:col>
      <xdr:colOff>2347259</xdr:colOff>
      <xdr:row>25</xdr:row>
      <xdr:rowOff>417501</xdr:rowOff>
    </xdr:to>
    <xdr:sp macro="" textlink="'Demographic Data'!A44">
      <xdr:nvSpPr>
        <xdr:cNvPr id="2346" name="Juror 10a">
          <a:extLst>
            <a:ext uri="{FF2B5EF4-FFF2-40B4-BE49-F238E27FC236}">
              <a16:creationId xmlns:a16="http://schemas.microsoft.com/office/drawing/2014/main" id="{00000000-0008-0000-0100-00002A090000}"/>
            </a:ext>
          </a:extLst>
        </xdr:cNvPr>
        <xdr:cNvSpPr/>
      </xdr:nvSpPr>
      <xdr:spPr>
        <a:xfrm>
          <a:off x="8504917" y="12503011"/>
          <a:ext cx="2224342" cy="25081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0B1165EE-DD70-463C-B38B-2A4A090685EF}" type="TxLink">
            <a:rPr lang="en-US" sz="1400" b="0" i="0" u="none" strike="noStrike">
              <a:solidFill>
                <a:schemeClr val="bg1"/>
              </a:solidFill>
              <a:latin typeface="Raleway"/>
            </a:rPr>
            <a:pPr algn="l"/>
            <a:t>#N/A</a:t>
          </a:fld>
          <a:endParaRPr lang="en-US" sz="14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161017</xdr:colOff>
      <xdr:row>25</xdr:row>
      <xdr:rowOff>180364</xdr:rowOff>
    </xdr:from>
    <xdr:to>
      <xdr:col>6</xdr:col>
      <xdr:colOff>2394100</xdr:colOff>
      <xdr:row>25</xdr:row>
      <xdr:rowOff>432651</xdr:rowOff>
    </xdr:to>
    <xdr:sp macro="" textlink="'Demographic Data'!B44">
      <xdr:nvSpPr>
        <xdr:cNvPr id="2538" name="Juror 10b">
          <a:extLst>
            <a:ext uri="{FF2B5EF4-FFF2-40B4-BE49-F238E27FC236}">
              <a16:creationId xmlns:a16="http://schemas.microsoft.com/office/drawing/2014/main" id="{2A2E086A-4CF8-4FC5-8480-E8D3E5721106}"/>
            </a:ext>
          </a:extLst>
        </xdr:cNvPr>
        <xdr:cNvSpPr/>
      </xdr:nvSpPr>
      <xdr:spPr>
        <a:xfrm>
          <a:off x="6501946" y="14774025"/>
          <a:ext cx="4274154" cy="2522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3DB3B7C-80E4-4F3F-BDBA-7376A2969EB1}" type="TxLink">
            <a:rPr lang="en-US" sz="1200" b="0" i="0" u="none" strike="noStrike">
              <a:solidFill>
                <a:schemeClr val="bg1"/>
              </a:solidFill>
              <a:latin typeface="Raleway"/>
            </a:rPr>
            <a:pPr algn="ctr"/>
            <a:t>0</a:t>
          </a:fld>
          <a:endParaRPr lang="en-US" sz="2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338138</xdr:rowOff>
        </xdr:from>
        <xdr:to>
          <xdr:col>11</xdr:col>
          <xdr:colOff>100013</xdr:colOff>
          <xdr:row>3</xdr:row>
          <xdr:rowOff>61913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Raleway"/>
                </a:rPr>
                <a:t>Send all Pics Backward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205822</xdr:colOff>
      <xdr:row>5</xdr:row>
      <xdr:rowOff>412570</xdr:rowOff>
    </xdr:from>
    <xdr:to>
      <xdr:col>6</xdr:col>
      <xdr:colOff>2267223</xdr:colOff>
      <xdr:row>5</xdr:row>
      <xdr:rowOff>418065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B98768E4-8089-4647-A34E-3938A7C8BF86}"/>
            </a:ext>
          </a:extLst>
        </xdr:cNvPr>
        <xdr:cNvCxnSpPr/>
      </xdr:nvCxnSpPr>
      <xdr:spPr>
        <a:xfrm>
          <a:off x="6546751" y="3984446"/>
          <a:ext cx="4102472" cy="5495"/>
        </a:xfrm>
        <a:prstGeom prst="line">
          <a:avLst/>
        </a:prstGeom>
        <a:ln w="3175">
          <a:solidFill>
            <a:schemeClr val="bg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255019</xdr:colOff>
      <xdr:row>25</xdr:row>
      <xdr:rowOff>176502</xdr:rowOff>
    </xdr:from>
    <xdr:to>
      <xdr:col>6</xdr:col>
      <xdr:colOff>2330899</xdr:colOff>
      <xdr:row>25</xdr:row>
      <xdr:rowOff>180165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5DB811F5-6DEF-48CB-9E8D-06FF69FADC6A}"/>
            </a:ext>
          </a:extLst>
        </xdr:cNvPr>
        <xdr:cNvCxnSpPr/>
      </xdr:nvCxnSpPr>
      <xdr:spPr>
        <a:xfrm>
          <a:off x="6595948" y="14770163"/>
          <a:ext cx="4116951" cy="3663"/>
        </a:xfrm>
        <a:prstGeom prst="line">
          <a:avLst/>
        </a:prstGeom>
        <a:ln w="3175">
          <a:solidFill>
            <a:schemeClr val="bg1"/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1333500</xdr:colOff>
      <xdr:row>19</xdr:row>
      <xdr:rowOff>127000</xdr:rowOff>
    </xdr:from>
    <xdr:to>
      <xdr:col>5</xdr:col>
      <xdr:colOff>1518231</xdr:colOff>
      <xdr:row>19</xdr:row>
      <xdr:rowOff>391560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AEEEA7CE-8A7C-9611-81B9-7F6590323457}"/>
            </a:ext>
          </a:extLst>
        </xdr:cNvPr>
        <xdr:cNvSpPr txBox="1"/>
      </xdr:nvSpPr>
      <xdr:spPr>
        <a:xfrm>
          <a:off x="7707313" y="11914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n-US" sz="1100"/>
        </a:p>
      </xdr:txBody>
    </xdr:sp>
    <xdr:clientData/>
  </xdr:twoCellAnchor>
  <xdr:twoCellAnchor>
    <xdr:from>
      <xdr:col>5</xdr:col>
      <xdr:colOff>518205</xdr:colOff>
      <xdr:row>24</xdr:row>
      <xdr:rowOff>417733</xdr:rowOff>
    </xdr:from>
    <xdr:to>
      <xdr:col>5</xdr:col>
      <xdr:colOff>1827891</xdr:colOff>
      <xdr:row>25</xdr:row>
      <xdr:rowOff>210930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62B38F86-9CC7-6AC8-59E9-A89CEAE4458D}"/>
            </a:ext>
          </a:extLst>
        </xdr:cNvPr>
        <xdr:cNvSpPr txBox="1"/>
      </xdr:nvSpPr>
      <xdr:spPr>
        <a:xfrm>
          <a:off x="6859134" y="14365054"/>
          <a:ext cx="1309686" cy="4395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2400">
              <a:solidFill>
                <a:schemeClr val="bg1"/>
              </a:solidFill>
              <a:latin typeface="Raleway" pitchFamily="2" charset="0"/>
            </a:rPr>
            <a:t>Juror 10</a:t>
          </a:r>
        </a:p>
      </xdr:txBody>
    </xdr:sp>
    <xdr:clientData/>
  </xdr:twoCellAnchor>
  <xdr:twoCellAnchor>
    <xdr:from>
      <xdr:col>5</xdr:col>
      <xdr:colOff>72570</xdr:colOff>
      <xdr:row>1</xdr:row>
      <xdr:rowOff>388075</xdr:rowOff>
    </xdr:from>
    <xdr:to>
      <xdr:col>6</xdr:col>
      <xdr:colOff>2382024</xdr:colOff>
      <xdr:row>5</xdr:row>
      <xdr:rowOff>494064</xdr:rowOff>
    </xdr:to>
    <xdr:grpSp>
      <xdr:nvGrpSpPr>
        <xdr:cNvPr id="2742" name="Group 2741">
          <a:extLst>
            <a:ext uri="{FF2B5EF4-FFF2-40B4-BE49-F238E27FC236}">
              <a16:creationId xmlns:a16="http://schemas.microsoft.com/office/drawing/2014/main" id="{3DD1ADD4-7EFB-D898-3206-F3D82F2D4489}"/>
            </a:ext>
          </a:extLst>
        </xdr:cNvPr>
        <xdr:cNvGrpSpPr/>
      </xdr:nvGrpSpPr>
      <xdr:grpSpPr>
        <a:xfrm>
          <a:off x="6413499" y="1463039"/>
          <a:ext cx="4350525" cy="2602901"/>
          <a:chOff x="6459612" y="1465036"/>
          <a:chExt cx="4350526" cy="2591560"/>
        </a:xfrm>
      </xdr:grpSpPr>
      <xdr:grpSp>
        <xdr:nvGrpSpPr>
          <xdr:cNvPr id="2714" name="Group 2713">
            <a:extLst>
              <a:ext uri="{FF2B5EF4-FFF2-40B4-BE49-F238E27FC236}">
                <a16:creationId xmlns:a16="http://schemas.microsoft.com/office/drawing/2014/main" id="{FBD3D454-1FC7-1709-EC3C-291D5258B53E}"/>
              </a:ext>
            </a:extLst>
          </xdr:cNvPr>
          <xdr:cNvGrpSpPr/>
        </xdr:nvGrpSpPr>
        <xdr:grpSpPr>
          <a:xfrm>
            <a:off x="6459612" y="1465036"/>
            <a:ext cx="4350526" cy="2591560"/>
            <a:chOff x="6459612" y="1501322"/>
            <a:chExt cx="4350526" cy="2591560"/>
          </a:xfrm>
        </xdr:grpSpPr>
        <xdr:grpSp>
          <xdr:nvGrpSpPr>
            <xdr:cNvPr id="2710" name="Group 2709">
              <a:extLst>
                <a:ext uri="{FF2B5EF4-FFF2-40B4-BE49-F238E27FC236}">
                  <a16:creationId xmlns:a16="http://schemas.microsoft.com/office/drawing/2014/main" id="{F6BE68FE-743D-9BDD-A066-60348C97BB69}"/>
                </a:ext>
              </a:extLst>
            </xdr:cNvPr>
            <xdr:cNvGrpSpPr/>
          </xdr:nvGrpSpPr>
          <xdr:grpSpPr>
            <a:xfrm>
              <a:off x="6529709" y="1501322"/>
              <a:ext cx="4280429" cy="2591560"/>
              <a:chOff x="6012798" y="1229179"/>
              <a:chExt cx="4295536" cy="2591560"/>
            </a:xfrm>
          </xdr:grpSpPr>
          <xdr:pic>
            <xdr:nvPicPr>
              <xdr:cNvPr id="2725" name="Picture 2661">
                <a:extLst>
                  <a:ext uri="{FF2B5EF4-FFF2-40B4-BE49-F238E27FC236}">
                    <a16:creationId xmlns:a16="http://schemas.microsoft.com/office/drawing/2014/main" id="{CB685D9E-88B5-5498-76EA-16A1E9451DF8}"/>
                  </a:ext>
                </a:extLst>
              </xdr:cNvPr>
              <xdr:cNvPicPr preferRelativeResize="0">
                <a:picLocks noChangeAspect="1"/>
              </xdr:cNvPicPr>
            </xdr:nvPicPr>
            <xdr:blipFill>
              <a:blip xmlns:r="http://schemas.openxmlformats.org/officeDocument/2006/relationships" r:embed="rId3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012798" y="1267388"/>
                <a:ext cx="4295536" cy="2553351"/>
              </a:xfrm>
              <a:prstGeom prst="rect">
                <a:avLst/>
              </a:prstGeom>
            </xdr:spPr>
          </xdr:pic>
          <xdr:sp macro="" textlink="'Demographic Data'!A36">
            <xdr:nvSpPr>
              <xdr:cNvPr id="2338" name="Juror 2a">
                <a:extLst>
                  <a:ext uri="{FF2B5EF4-FFF2-40B4-BE49-F238E27FC236}">
                    <a16:creationId xmlns:a16="http://schemas.microsoft.com/office/drawing/2014/main" id="{00000000-0008-0000-0100-000022090000}"/>
                  </a:ext>
                </a:extLst>
              </xdr:cNvPr>
              <xdr:cNvSpPr/>
            </xdr:nvSpPr>
            <xdr:spPr>
              <a:xfrm>
                <a:off x="7935005" y="1229179"/>
                <a:ext cx="2300287" cy="249124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fld id="{A97E79D9-8263-445B-A230-E217EE235593}" type="TxLink">
                  <a:rPr lang="en-US" sz="1400" b="0" i="0" u="none" strike="noStrike">
                    <a:solidFill>
                      <a:schemeClr val="bg1"/>
                    </a:solidFill>
                    <a:latin typeface="Raleway"/>
                  </a:rPr>
                  <a:pPr algn="l"/>
                  <a:t>#N/A</a:t>
                </a:fld>
                <a:endParaRPr lang="en-US" sz="1400">
                  <a:solidFill>
                    <a:schemeClr val="bg1"/>
                  </a:solidFill>
                </a:endParaRPr>
              </a:p>
            </xdr:txBody>
          </xdr:sp>
        </xdr:grpSp>
        <xdr:sp macro="" textlink="'Demographic Data'!B36">
          <xdr:nvSpPr>
            <xdr:cNvPr id="24" name="Juror 2b">
              <a:extLst>
                <a:ext uri="{FF2B5EF4-FFF2-40B4-BE49-F238E27FC236}">
                  <a16:creationId xmlns:a16="http://schemas.microsoft.com/office/drawing/2014/main" id="{951B2155-9EF9-4461-97F4-F685A55AC25F}"/>
                </a:ext>
              </a:extLst>
            </xdr:cNvPr>
            <xdr:cNvSpPr/>
          </xdr:nvSpPr>
          <xdr:spPr>
            <a:xfrm>
              <a:off x="6459612" y="3806978"/>
              <a:ext cx="4296034" cy="26935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fld id="{57C6952F-81D1-4F36-B141-7AFFEFD40020}" type="TxLink">
                <a:rPr lang="en-US" sz="1200" b="0" i="0" u="none" strike="noStrike">
                  <a:solidFill>
                    <a:schemeClr val="bg1"/>
                  </a:solidFill>
                  <a:latin typeface="Raleway"/>
                </a:rPr>
                <a:pPr algn="ctr"/>
                <a:t>0</a:t>
              </a:fld>
              <a:endParaRPr lang="en-US" sz="16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AA8CAFC5-3AE2-442D-84B7-14142359F1CF}"/>
                </a:ext>
              </a:extLst>
            </xdr:cNvPr>
            <xdr:cNvSpPr txBox="1"/>
          </xdr:nvSpPr>
          <xdr:spPr>
            <a:xfrm>
              <a:off x="6835305" y="3306531"/>
              <a:ext cx="1174766" cy="5126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2400">
                  <a:solidFill>
                    <a:schemeClr val="bg1"/>
                  </a:solidFill>
                  <a:latin typeface="Raleway" pitchFamily="2" charset="0"/>
                </a:rPr>
                <a:t>Juror 2</a:t>
              </a:r>
            </a:p>
          </xdr:txBody>
        </xdr:sp>
      </xdr:grpSp>
      <xdr:cxnSp macro="">
        <xdr:nvCxnSpPr>
          <xdr:cNvPr id="2716" name="Straight Connector 2715">
            <a:extLst>
              <a:ext uri="{FF2B5EF4-FFF2-40B4-BE49-F238E27FC236}">
                <a16:creationId xmlns:a16="http://schemas.microsoft.com/office/drawing/2014/main" id="{CFEE67EF-D665-49DC-8922-AE3FCE915A11}"/>
              </a:ext>
            </a:extLst>
          </xdr:cNvPr>
          <xdr:cNvCxnSpPr/>
        </xdr:nvCxnSpPr>
        <xdr:spPr>
          <a:xfrm>
            <a:off x="6633660" y="3792020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69618</xdr:colOff>
      <xdr:row>1</xdr:row>
      <xdr:rowOff>388075</xdr:rowOff>
    </xdr:from>
    <xdr:to>
      <xdr:col>3</xdr:col>
      <xdr:colOff>2189349</xdr:colOff>
      <xdr:row>5</xdr:row>
      <xdr:rowOff>478905</xdr:rowOff>
    </xdr:to>
    <xdr:grpSp>
      <xdr:nvGrpSpPr>
        <xdr:cNvPr id="2738" name="Group 2737">
          <a:extLst>
            <a:ext uri="{FF2B5EF4-FFF2-40B4-BE49-F238E27FC236}">
              <a16:creationId xmlns:a16="http://schemas.microsoft.com/office/drawing/2014/main" id="{129972EA-7950-E6A9-D6FB-5B33EE4D3AC9}"/>
            </a:ext>
          </a:extLst>
        </xdr:cNvPr>
        <xdr:cNvGrpSpPr/>
      </xdr:nvGrpSpPr>
      <xdr:grpSpPr>
        <a:xfrm>
          <a:off x="1498368" y="1463039"/>
          <a:ext cx="4310481" cy="2587742"/>
          <a:chOff x="1682751" y="1548602"/>
          <a:chExt cx="4315016" cy="2576401"/>
        </a:xfrm>
      </xdr:grpSpPr>
      <xdr:pic>
        <xdr:nvPicPr>
          <xdr:cNvPr id="2726" name="Picture 2662">
            <a:extLst>
              <a:ext uri="{FF2B5EF4-FFF2-40B4-BE49-F238E27FC236}">
                <a16:creationId xmlns:a16="http://schemas.microsoft.com/office/drawing/2014/main" id="{527C3777-4F2D-8CF6-D8D4-9A4840B8C3ED}"/>
              </a:ext>
            </a:extLst>
          </xdr:cNvPr>
          <xdr:cNvPicPr preferRelativeResize="0"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2983" y="1548602"/>
            <a:ext cx="4295536" cy="2553351"/>
          </a:xfrm>
          <a:prstGeom prst="rect">
            <a:avLst/>
          </a:prstGeom>
        </xdr:spPr>
      </xdr:pic>
      <xdr:sp macro="" textlink="'Demographic Data'!B35">
        <xdr:nvSpPr>
          <xdr:cNvPr id="6" name="Juror 2b">
            <a:extLst>
              <a:ext uri="{FF2B5EF4-FFF2-40B4-BE49-F238E27FC236}">
                <a16:creationId xmlns:a16="http://schemas.microsoft.com/office/drawing/2014/main" id="{1A133B8E-AB18-4DA8-879A-5550A4680DE4}"/>
              </a:ext>
            </a:extLst>
          </xdr:cNvPr>
          <xdr:cNvSpPr/>
        </xdr:nvSpPr>
        <xdr:spPr>
          <a:xfrm>
            <a:off x="1682751" y="3827087"/>
            <a:ext cx="4275781" cy="2667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604B9A84-5EBF-41D6-8922-6ED9AC884A38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C1F0C1E2-48AD-D795-5D86-C6B3D60A32B4}"/>
              </a:ext>
            </a:extLst>
          </xdr:cNvPr>
          <xdr:cNvCxnSpPr/>
        </xdr:nvCxnSpPr>
        <xdr:spPr>
          <a:xfrm>
            <a:off x="1781667" y="3812431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BF5908EA-17F8-5BB3-F229-D477F3B51374}"/>
              </a:ext>
            </a:extLst>
          </xdr:cNvPr>
          <xdr:cNvSpPr/>
        </xdr:nvSpPr>
        <xdr:spPr>
          <a:xfrm>
            <a:off x="2038110" y="3432135"/>
            <a:ext cx="1230921" cy="37663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aleway" pitchFamily="2" charset="0"/>
              </a:rPr>
              <a:t>Juror 1</a:t>
            </a:r>
          </a:p>
        </xdr:txBody>
      </xdr:sp>
      <xdr:sp macro="" textlink="'Demographic Data'!A35">
        <xdr:nvSpPr>
          <xdr:cNvPr id="2904" name="Juror 1a">
            <a:extLst>
              <a:ext uri="{FF2B5EF4-FFF2-40B4-BE49-F238E27FC236}">
                <a16:creationId xmlns:a16="http://schemas.microsoft.com/office/drawing/2014/main" id="{F09F34CD-9B78-47D9-B42F-A5A745D1087D}"/>
              </a:ext>
            </a:extLst>
          </xdr:cNvPr>
          <xdr:cNvSpPr/>
        </xdr:nvSpPr>
        <xdr:spPr>
          <a:xfrm>
            <a:off x="3669393" y="1614713"/>
            <a:ext cx="2328374" cy="25102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CDD1D96F-3963-45E6-9E2D-3388BECD021F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69851</xdr:colOff>
      <xdr:row>6</xdr:row>
      <xdr:rowOff>39793</xdr:rowOff>
    </xdr:from>
    <xdr:to>
      <xdr:col>3</xdr:col>
      <xdr:colOff>2176655</xdr:colOff>
      <xdr:row>10</xdr:row>
      <xdr:rowOff>453402</xdr:rowOff>
    </xdr:to>
    <xdr:grpSp>
      <xdr:nvGrpSpPr>
        <xdr:cNvPr id="2743" name="Group 2742">
          <a:extLst>
            <a:ext uri="{FF2B5EF4-FFF2-40B4-BE49-F238E27FC236}">
              <a16:creationId xmlns:a16="http://schemas.microsoft.com/office/drawing/2014/main" id="{9358DFF7-5FAA-6CFB-30F0-5E38F72FCBFB}"/>
            </a:ext>
          </a:extLst>
        </xdr:cNvPr>
        <xdr:cNvGrpSpPr/>
      </xdr:nvGrpSpPr>
      <xdr:grpSpPr>
        <a:xfrm>
          <a:off x="1498601" y="4217186"/>
          <a:ext cx="4297554" cy="2563537"/>
          <a:chOff x="1665399" y="4280126"/>
          <a:chExt cx="4302089" cy="2554466"/>
        </a:xfrm>
      </xdr:grpSpPr>
      <xdr:pic>
        <xdr:nvPicPr>
          <xdr:cNvPr id="2729" name="Picture 2660">
            <a:extLst>
              <a:ext uri="{FF2B5EF4-FFF2-40B4-BE49-F238E27FC236}">
                <a16:creationId xmlns:a16="http://schemas.microsoft.com/office/drawing/2014/main" id="{DD2DC4FE-4547-95AD-FE9E-43831E59F8C4}"/>
              </a:ext>
            </a:extLst>
          </xdr:cNvPr>
          <xdr:cNvPicPr preferRelativeResize="0"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65399" y="4281241"/>
            <a:ext cx="4295536" cy="2553351"/>
          </a:xfrm>
          <a:prstGeom prst="rect">
            <a:avLst/>
          </a:prstGeom>
        </xdr:spPr>
      </xdr:pic>
      <xdr:sp macro="" textlink="'Demographic Data'!A37">
        <xdr:nvSpPr>
          <xdr:cNvPr id="2339" name="Juror 3a">
            <a:extLst>
              <a:ext uri="{FF2B5EF4-FFF2-40B4-BE49-F238E27FC236}">
                <a16:creationId xmlns:a16="http://schemas.microsoft.com/office/drawing/2014/main" id="{00000000-0008-0000-0100-000023090000}"/>
              </a:ext>
            </a:extLst>
          </xdr:cNvPr>
          <xdr:cNvSpPr/>
        </xdr:nvSpPr>
        <xdr:spPr>
          <a:xfrm>
            <a:off x="3647621" y="4280126"/>
            <a:ext cx="2264256" cy="252458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fld id="{7244BC30-0826-454D-BAA9-B9BD13EE1C31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37">
        <xdr:nvSpPr>
          <xdr:cNvPr id="2531" name="Juror 3b">
            <a:extLst>
              <a:ext uri="{FF2B5EF4-FFF2-40B4-BE49-F238E27FC236}">
                <a16:creationId xmlns:a16="http://schemas.microsoft.com/office/drawing/2014/main" id="{B1439871-D05E-40B4-A596-CAB6C49BA342}"/>
              </a:ext>
            </a:extLst>
          </xdr:cNvPr>
          <xdr:cNvSpPr/>
        </xdr:nvSpPr>
        <xdr:spPr>
          <a:xfrm>
            <a:off x="1666876" y="6563933"/>
            <a:ext cx="4300612" cy="24095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15A3602C-319D-433B-B23E-CB9C98165526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1200">
              <a:solidFill>
                <a:schemeClr val="bg1"/>
              </a:solidFill>
            </a:endParaRPr>
          </a:p>
        </xdr:txBody>
      </xdr: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3D7B3AC5-1AC0-4B4E-9693-751E6C81D5C3}"/>
              </a:ext>
            </a:extLst>
          </xdr:cNvPr>
          <xdr:cNvCxnSpPr/>
        </xdr:nvCxnSpPr>
        <xdr:spPr>
          <a:xfrm>
            <a:off x="1780446" y="6550507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CFA3A0BD-0EFD-4FF8-BC0E-AD62FEF69325}"/>
              </a:ext>
            </a:extLst>
          </xdr:cNvPr>
          <xdr:cNvSpPr/>
        </xdr:nvSpPr>
        <xdr:spPr>
          <a:xfrm>
            <a:off x="2005548" y="6168562"/>
            <a:ext cx="1230921" cy="3766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aleway" pitchFamily="2" charset="0"/>
              </a:rPr>
              <a:t>Juror 3</a:t>
            </a:r>
          </a:p>
        </xdr:txBody>
      </xdr:sp>
    </xdr:grpSp>
    <xdr:clientData/>
  </xdr:twoCellAnchor>
  <xdr:twoCellAnchor>
    <xdr:from>
      <xdr:col>5</xdr:col>
      <xdr:colOff>62194</xdr:colOff>
      <xdr:row>6</xdr:row>
      <xdr:rowOff>25456</xdr:rowOff>
    </xdr:from>
    <xdr:to>
      <xdr:col>6</xdr:col>
      <xdr:colOff>2327036</xdr:colOff>
      <xdr:row>10</xdr:row>
      <xdr:rowOff>453353</xdr:rowOff>
    </xdr:to>
    <xdr:grpSp>
      <xdr:nvGrpSpPr>
        <xdr:cNvPr id="2747" name="Group 2746">
          <a:extLst>
            <a:ext uri="{FF2B5EF4-FFF2-40B4-BE49-F238E27FC236}">
              <a16:creationId xmlns:a16="http://schemas.microsoft.com/office/drawing/2014/main" id="{04E063F7-DBF4-64CE-BE3A-42BF997CBC4D}"/>
            </a:ext>
          </a:extLst>
        </xdr:cNvPr>
        <xdr:cNvGrpSpPr/>
      </xdr:nvGrpSpPr>
      <xdr:grpSpPr>
        <a:xfrm>
          <a:off x="6403123" y="4202849"/>
          <a:ext cx="4305913" cy="2577825"/>
          <a:chOff x="6455832" y="4265838"/>
          <a:chExt cx="4305914" cy="2568754"/>
        </a:xfrm>
      </xdr:grpSpPr>
      <xdr:pic>
        <xdr:nvPicPr>
          <xdr:cNvPr id="2728" name="Picture 2659">
            <a:extLst>
              <a:ext uri="{FF2B5EF4-FFF2-40B4-BE49-F238E27FC236}">
                <a16:creationId xmlns:a16="http://schemas.microsoft.com/office/drawing/2014/main" id="{627EE97F-D17F-E607-6455-D543D283B38C}"/>
              </a:ext>
            </a:extLst>
          </xdr:cNvPr>
          <xdr:cNvPicPr preferRelativeResize="0"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6210" y="4281241"/>
            <a:ext cx="4295536" cy="2553351"/>
          </a:xfrm>
          <a:prstGeom prst="rect">
            <a:avLst/>
          </a:prstGeom>
        </xdr:spPr>
      </xdr:pic>
      <xdr:sp macro="" textlink="'Demographic Data'!A38">
        <xdr:nvSpPr>
          <xdr:cNvPr id="2340" name="Juror 4a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/>
        </xdr:nvSpPr>
        <xdr:spPr>
          <a:xfrm>
            <a:off x="8433481" y="4265838"/>
            <a:ext cx="2249627" cy="25388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3F76AC8-16C7-4F93-87F2-3883EF1BB1DB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38">
        <xdr:nvSpPr>
          <xdr:cNvPr id="2532" name="Juror 4b">
            <a:extLst>
              <a:ext uri="{FF2B5EF4-FFF2-40B4-BE49-F238E27FC236}">
                <a16:creationId xmlns:a16="http://schemas.microsoft.com/office/drawing/2014/main" id="{0CCC4977-0E60-4E19-96AA-064AAEADAE86}"/>
              </a:ext>
            </a:extLst>
          </xdr:cNvPr>
          <xdr:cNvSpPr/>
        </xdr:nvSpPr>
        <xdr:spPr>
          <a:xfrm>
            <a:off x="6455832" y="6549569"/>
            <a:ext cx="4274155" cy="2303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59BA0474-8BD0-4902-85DE-AB84FCD8462D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59413971-58EC-4E93-A5D4-3318117B1AE0}"/>
              </a:ext>
            </a:extLst>
          </xdr:cNvPr>
          <xdr:cNvCxnSpPr/>
        </xdr:nvCxnSpPr>
        <xdr:spPr>
          <a:xfrm>
            <a:off x="6545690" y="6560792"/>
            <a:ext cx="4116952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F2EFE0B0-9679-4C7F-8E50-3902E8153E0B}"/>
              </a:ext>
            </a:extLst>
          </xdr:cNvPr>
          <xdr:cNvSpPr txBox="1"/>
        </xdr:nvSpPr>
        <xdr:spPr>
          <a:xfrm>
            <a:off x="6869317" y="6089185"/>
            <a:ext cx="1178912" cy="5126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4</a:t>
            </a:r>
          </a:p>
        </xdr:txBody>
      </xdr:sp>
    </xdr:grpSp>
    <xdr:clientData/>
  </xdr:twoCellAnchor>
  <xdr:twoCellAnchor>
    <xdr:from>
      <xdr:col>1</xdr:col>
      <xdr:colOff>69849</xdr:colOff>
      <xdr:row>10</xdr:row>
      <xdr:rowOff>538493</xdr:rowOff>
    </xdr:from>
    <xdr:to>
      <xdr:col>3</xdr:col>
      <xdr:colOff>2170100</xdr:colOff>
      <xdr:row>15</xdr:row>
      <xdr:rowOff>452859</xdr:rowOff>
    </xdr:to>
    <xdr:grpSp>
      <xdr:nvGrpSpPr>
        <xdr:cNvPr id="2318" name="Group 2317">
          <a:extLst>
            <a:ext uri="{FF2B5EF4-FFF2-40B4-BE49-F238E27FC236}">
              <a16:creationId xmlns:a16="http://schemas.microsoft.com/office/drawing/2014/main" id="{73AAA20F-7FA8-BB3D-E013-8BF929F16F25}"/>
            </a:ext>
          </a:extLst>
        </xdr:cNvPr>
        <xdr:cNvGrpSpPr/>
      </xdr:nvGrpSpPr>
      <xdr:grpSpPr>
        <a:xfrm>
          <a:off x="1498599" y="6865814"/>
          <a:ext cx="4291001" cy="2669814"/>
          <a:chOff x="1620042" y="7022280"/>
          <a:chExt cx="4295536" cy="2660742"/>
        </a:xfrm>
      </xdr:grpSpPr>
      <xdr:pic>
        <xdr:nvPicPr>
          <xdr:cNvPr id="2733" name="Picture 2656">
            <a:extLst>
              <a:ext uri="{FF2B5EF4-FFF2-40B4-BE49-F238E27FC236}">
                <a16:creationId xmlns:a16="http://schemas.microsoft.com/office/drawing/2014/main" id="{2E041A79-C846-206B-77C7-79A2CFE8046E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0042" y="7129671"/>
            <a:ext cx="4295536" cy="2553351"/>
          </a:xfrm>
          <a:prstGeom prst="rect">
            <a:avLst/>
          </a:prstGeom>
        </xdr:spPr>
      </xdr:pic>
      <xdr:sp macro="" textlink="'Demographic Data'!A39">
        <xdr:nvSpPr>
          <xdr:cNvPr id="2341" name="Juror 5a">
            <a:extLst>
              <a:ext uri="{FF2B5EF4-FFF2-40B4-BE49-F238E27FC236}">
                <a16:creationId xmlns:a16="http://schemas.microsoft.com/office/drawing/2014/main" id="{00000000-0008-0000-0100-000025090000}"/>
              </a:ext>
            </a:extLst>
          </xdr:cNvPr>
          <xdr:cNvSpPr/>
        </xdr:nvSpPr>
        <xdr:spPr>
          <a:xfrm>
            <a:off x="3612242" y="7022280"/>
            <a:ext cx="2244185" cy="25419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23F61727-F963-4C48-B775-B7262553707B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39">
        <xdr:nvSpPr>
          <xdr:cNvPr id="2533" name="Juror 5b">
            <a:extLst>
              <a:ext uri="{FF2B5EF4-FFF2-40B4-BE49-F238E27FC236}">
                <a16:creationId xmlns:a16="http://schemas.microsoft.com/office/drawing/2014/main" id="{4C85AE9D-895C-4943-9644-D6CD5D7CEAFB}"/>
              </a:ext>
            </a:extLst>
          </xdr:cNvPr>
          <xdr:cNvSpPr/>
        </xdr:nvSpPr>
        <xdr:spPr>
          <a:xfrm>
            <a:off x="1621518" y="9349620"/>
            <a:ext cx="4290030" cy="2421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1387C0E4-A449-48E7-9C85-27F59A76FDBB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47204C73-E74C-4CB1-BD45-71FA7B9ABDF2}"/>
              </a:ext>
            </a:extLst>
          </xdr:cNvPr>
          <xdr:cNvSpPr/>
        </xdr:nvSpPr>
        <xdr:spPr>
          <a:xfrm>
            <a:off x="2023683" y="8962942"/>
            <a:ext cx="1230921" cy="3766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aleway" pitchFamily="2" charset="0"/>
              </a:rPr>
              <a:t>Juror 5 </a:t>
            </a:r>
          </a:p>
        </xdr:txBody>
      </xdr: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822E5189-94B6-4D9F-B619-D49D54843001}"/>
              </a:ext>
            </a:extLst>
          </xdr:cNvPr>
          <xdr:cNvCxnSpPr/>
        </xdr:nvCxnSpPr>
        <xdr:spPr>
          <a:xfrm>
            <a:off x="1725711" y="9342519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65973</xdr:colOff>
      <xdr:row>11</xdr:row>
      <xdr:rowOff>40731</xdr:rowOff>
    </xdr:from>
    <xdr:to>
      <xdr:col>6</xdr:col>
      <xdr:colOff>2327035</xdr:colOff>
      <xdr:row>15</xdr:row>
      <xdr:rowOff>453224</xdr:rowOff>
    </xdr:to>
    <xdr:grpSp>
      <xdr:nvGrpSpPr>
        <xdr:cNvPr id="2322" name="Group 2321">
          <a:extLst>
            <a:ext uri="{FF2B5EF4-FFF2-40B4-BE49-F238E27FC236}">
              <a16:creationId xmlns:a16="http://schemas.microsoft.com/office/drawing/2014/main" id="{D0520384-FF98-0CC4-0E82-8ED9B378BE22}"/>
            </a:ext>
          </a:extLst>
        </xdr:cNvPr>
        <xdr:cNvGrpSpPr/>
      </xdr:nvGrpSpPr>
      <xdr:grpSpPr>
        <a:xfrm>
          <a:off x="6406902" y="6973571"/>
          <a:ext cx="4302133" cy="2562422"/>
          <a:chOff x="6459612" y="7048029"/>
          <a:chExt cx="4302134" cy="2553351"/>
        </a:xfrm>
      </xdr:grpSpPr>
      <xdr:pic>
        <xdr:nvPicPr>
          <xdr:cNvPr id="2732" name="Picture 2655">
            <a:extLst>
              <a:ext uri="{FF2B5EF4-FFF2-40B4-BE49-F238E27FC236}">
                <a16:creationId xmlns:a16="http://schemas.microsoft.com/office/drawing/2014/main" id="{F2E292DD-C787-7C50-3859-276E01330AC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6210" y="7048029"/>
            <a:ext cx="4295536" cy="2553351"/>
          </a:xfrm>
          <a:prstGeom prst="rect">
            <a:avLst/>
          </a:prstGeom>
        </xdr:spPr>
      </xdr:pic>
      <xdr:sp macro="" textlink="'Demographic Data'!A40">
        <xdr:nvSpPr>
          <xdr:cNvPr id="2342" name="Juror 6a">
            <a:extLst>
              <a:ext uri="{FF2B5EF4-FFF2-40B4-BE49-F238E27FC236}">
                <a16:creationId xmlns:a16="http://schemas.microsoft.com/office/drawing/2014/main" id="{00000000-0008-0000-0100-000026090000}"/>
              </a:ext>
            </a:extLst>
          </xdr:cNvPr>
          <xdr:cNvSpPr/>
        </xdr:nvSpPr>
        <xdr:spPr>
          <a:xfrm>
            <a:off x="8447768" y="7049495"/>
            <a:ext cx="2234660" cy="25419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2F68790C-9D74-45F1-9A37-21C4381F4450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40">
        <xdr:nvSpPr>
          <xdr:cNvPr id="2534" name="Juror 6b">
            <a:extLst>
              <a:ext uri="{FF2B5EF4-FFF2-40B4-BE49-F238E27FC236}">
                <a16:creationId xmlns:a16="http://schemas.microsoft.com/office/drawing/2014/main" id="{244D63AE-3A6F-4548-B80E-1E45B3E1F54D}"/>
              </a:ext>
            </a:extLst>
          </xdr:cNvPr>
          <xdr:cNvSpPr/>
        </xdr:nvSpPr>
        <xdr:spPr>
          <a:xfrm>
            <a:off x="6459612" y="9362472"/>
            <a:ext cx="4279447" cy="21568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fld id="{78C993DB-49D8-48F7-95F9-9B40C79F4824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F50E7BDC-7E34-494A-B8F2-679FED397B1C}"/>
              </a:ext>
            </a:extLst>
          </xdr:cNvPr>
          <xdr:cNvCxnSpPr/>
        </xdr:nvCxnSpPr>
        <xdr:spPr>
          <a:xfrm>
            <a:off x="6579021" y="9325207"/>
            <a:ext cx="4116952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0C094FD-2DC0-54C8-645A-56CD03F083CF}"/>
              </a:ext>
            </a:extLst>
          </xdr:cNvPr>
          <xdr:cNvSpPr txBox="1"/>
        </xdr:nvSpPr>
        <xdr:spPr>
          <a:xfrm>
            <a:off x="6878960" y="8888866"/>
            <a:ext cx="1178912" cy="5126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6</a:t>
            </a:r>
          </a:p>
        </xdr:txBody>
      </xdr:sp>
    </xdr:grpSp>
    <xdr:clientData/>
  </xdr:twoCellAnchor>
  <xdr:twoCellAnchor>
    <xdr:from>
      <xdr:col>1</xdr:col>
      <xdr:colOff>69850</xdr:colOff>
      <xdr:row>16</xdr:row>
      <xdr:rowOff>40550</xdr:rowOff>
    </xdr:from>
    <xdr:to>
      <xdr:col>3</xdr:col>
      <xdr:colOff>2170103</xdr:colOff>
      <xdr:row>20</xdr:row>
      <xdr:rowOff>455758</xdr:rowOff>
    </xdr:to>
    <xdr:grpSp>
      <xdr:nvGrpSpPr>
        <xdr:cNvPr id="2335" name="Group 2334">
          <a:extLst>
            <a:ext uri="{FF2B5EF4-FFF2-40B4-BE49-F238E27FC236}">
              <a16:creationId xmlns:a16="http://schemas.microsoft.com/office/drawing/2014/main" id="{65F4EBA2-852B-986B-380C-BB861AEDC7A4}"/>
            </a:ext>
          </a:extLst>
        </xdr:cNvPr>
        <xdr:cNvGrpSpPr/>
      </xdr:nvGrpSpPr>
      <xdr:grpSpPr>
        <a:xfrm>
          <a:off x="1498600" y="9728836"/>
          <a:ext cx="4291003" cy="2565136"/>
          <a:chOff x="1665398" y="9792874"/>
          <a:chExt cx="4295538" cy="2556065"/>
        </a:xfrm>
      </xdr:grpSpPr>
      <xdr:pic>
        <xdr:nvPicPr>
          <xdr:cNvPr id="2736" name="Picture 2654">
            <a:extLst>
              <a:ext uri="{FF2B5EF4-FFF2-40B4-BE49-F238E27FC236}">
                <a16:creationId xmlns:a16="http://schemas.microsoft.com/office/drawing/2014/main" id="{97839090-01FC-AD78-9431-1E056599783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65398" y="9792874"/>
            <a:ext cx="4295538" cy="2556065"/>
          </a:xfrm>
          <a:prstGeom prst="rect">
            <a:avLst/>
          </a:prstGeom>
        </xdr:spPr>
      </xdr:pic>
      <xdr:sp macro="" textlink="'Demographic Data'!A41">
        <xdr:nvSpPr>
          <xdr:cNvPr id="2343" name="Juror 7a">
            <a:extLst>
              <a:ext uri="{FF2B5EF4-FFF2-40B4-BE49-F238E27FC236}">
                <a16:creationId xmlns:a16="http://schemas.microsoft.com/office/drawing/2014/main" id="{00000000-0008-0000-0100-000027090000}"/>
              </a:ext>
            </a:extLst>
          </xdr:cNvPr>
          <xdr:cNvSpPr/>
        </xdr:nvSpPr>
        <xdr:spPr>
          <a:xfrm>
            <a:off x="3661909" y="9793390"/>
            <a:ext cx="2248947" cy="253717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88CAE0CE-8B80-43E7-881A-0B23A7CEC82C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41">
        <xdr:nvSpPr>
          <xdr:cNvPr id="2535" name="Juror 7b">
            <a:extLst>
              <a:ext uri="{FF2B5EF4-FFF2-40B4-BE49-F238E27FC236}">
                <a16:creationId xmlns:a16="http://schemas.microsoft.com/office/drawing/2014/main" id="{CB5D056B-EEE3-4D50-BF59-AE288C59B2C5}"/>
              </a:ext>
            </a:extLst>
          </xdr:cNvPr>
          <xdr:cNvSpPr/>
        </xdr:nvSpPr>
        <xdr:spPr>
          <a:xfrm>
            <a:off x="1672168" y="12085410"/>
            <a:ext cx="4268862" cy="2235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DE11D1B0-6B29-4D4B-AEA4-EFFB7A540D79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659C0128-18A7-4DE6-A8E1-A1DA2E033706}"/>
              </a:ext>
            </a:extLst>
          </xdr:cNvPr>
          <xdr:cNvCxnSpPr/>
        </xdr:nvCxnSpPr>
        <xdr:spPr>
          <a:xfrm>
            <a:off x="1765620" y="12085928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A50DCA5D-E3EC-9C2E-AF7B-340C7F3C23EB}"/>
              </a:ext>
            </a:extLst>
          </xdr:cNvPr>
          <xdr:cNvSpPr txBox="1"/>
        </xdr:nvSpPr>
        <xdr:spPr>
          <a:xfrm>
            <a:off x="2047875" y="11644313"/>
            <a:ext cx="1234440" cy="3760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7</a:t>
            </a:r>
          </a:p>
        </xdr:txBody>
      </xdr:sp>
    </xdr:grpSp>
    <xdr:clientData/>
  </xdr:twoCellAnchor>
  <xdr:twoCellAnchor>
    <xdr:from>
      <xdr:col>5</xdr:col>
      <xdr:colOff>72571</xdr:colOff>
      <xdr:row>16</xdr:row>
      <xdr:rowOff>40550</xdr:rowOff>
    </xdr:from>
    <xdr:to>
      <xdr:col>6</xdr:col>
      <xdr:colOff>2322502</xdr:colOff>
      <xdr:row>20</xdr:row>
      <xdr:rowOff>455758</xdr:rowOff>
    </xdr:to>
    <xdr:grpSp>
      <xdr:nvGrpSpPr>
        <xdr:cNvPr id="2337" name="Group 2336">
          <a:extLst>
            <a:ext uri="{FF2B5EF4-FFF2-40B4-BE49-F238E27FC236}">
              <a16:creationId xmlns:a16="http://schemas.microsoft.com/office/drawing/2014/main" id="{E14D6851-5F2B-8620-6402-4824A9047F50}"/>
            </a:ext>
          </a:extLst>
        </xdr:cNvPr>
        <xdr:cNvGrpSpPr/>
      </xdr:nvGrpSpPr>
      <xdr:grpSpPr>
        <a:xfrm>
          <a:off x="6413500" y="9728836"/>
          <a:ext cx="4291002" cy="2565136"/>
          <a:chOff x="6466210" y="9792874"/>
          <a:chExt cx="4295538" cy="2556065"/>
        </a:xfrm>
      </xdr:grpSpPr>
      <xdr:pic>
        <xdr:nvPicPr>
          <xdr:cNvPr id="2734" name="Picture 2653">
            <a:extLst>
              <a:ext uri="{FF2B5EF4-FFF2-40B4-BE49-F238E27FC236}">
                <a16:creationId xmlns:a16="http://schemas.microsoft.com/office/drawing/2014/main" id="{5F78DD03-E4F6-CA77-E4D1-15E755B62FD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6210" y="9792874"/>
            <a:ext cx="4295538" cy="2556065"/>
          </a:xfrm>
          <a:prstGeom prst="rect">
            <a:avLst/>
          </a:prstGeom>
        </xdr:spPr>
      </xdr:pic>
      <xdr:sp macro="" textlink="'Demographic Data'!A42">
        <xdr:nvSpPr>
          <xdr:cNvPr id="2344" name="Juror 8a">
            <a:extLst>
              <a:ext uri="{FF2B5EF4-FFF2-40B4-BE49-F238E27FC236}">
                <a16:creationId xmlns:a16="http://schemas.microsoft.com/office/drawing/2014/main" id="{00000000-0008-0000-0100-000028090000}"/>
              </a:ext>
            </a:extLst>
          </xdr:cNvPr>
          <xdr:cNvSpPr/>
        </xdr:nvSpPr>
        <xdr:spPr>
          <a:xfrm>
            <a:off x="8447768" y="9793390"/>
            <a:ext cx="2234660" cy="253717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612BF88-972F-4422-B892-F67FB1E3B195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42">
        <xdr:nvSpPr>
          <xdr:cNvPr id="2536" name="Juror 8b">
            <a:extLst>
              <a:ext uri="{FF2B5EF4-FFF2-40B4-BE49-F238E27FC236}">
                <a16:creationId xmlns:a16="http://schemas.microsoft.com/office/drawing/2014/main" id="{A3BA241D-8AF5-417F-8808-EA0F031ED92C}"/>
              </a:ext>
            </a:extLst>
          </xdr:cNvPr>
          <xdr:cNvSpPr/>
        </xdr:nvSpPr>
        <xdr:spPr>
          <a:xfrm>
            <a:off x="6470195" y="12082394"/>
            <a:ext cx="4263572" cy="2447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7F4BA411-2E54-47F7-B3D4-7BB0ADC50713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9FC84AC0-5679-4DDE-93B2-A881F2CD2660}"/>
              </a:ext>
            </a:extLst>
          </xdr:cNvPr>
          <xdr:cNvCxnSpPr/>
        </xdr:nvCxnSpPr>
        <xdr:spPr>
          <a:xfrm>
            <a:off x="6538274" y="12076785"/>
            <a:ext cx="4116952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2889D978-B5F1-2F01-E7EF-8F163CF83722}"/>
              </a:ext>
            </a:extLst>
          </xdr:cNvPr>
          <xdr:cNvSpPr txBox="1"/>
        </xdr:nvSpPr>
        <xdr:spPr>
          <a:xfrm>
            <a:off x="6851196" y="11649986"/>
            <a:ext cx="1234440" cy="4372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8</a:t>
            </a:r>
          </a:p>
        </xdr:txBody>
      </xdr:sp>
    </xdr:grpSp>
    <xdr:clientData/>
  </xdr:twoCellAnchor>
  <xdr:twoCellAnchor>
    <xdr:from>
      <xdr:col>1</xdr:col>
      <xdr:colOff>69850</xdr:colOff>
      <xdr:row>21</xdr:row>
      <xdr:rowOff>40367</xdr:rowOff>
    </xdr:from>
    <xdr:to>
      <xdr:col>3</xdr:col>
      <xdr:colOff>2170103</xdr:colOff>
      <xdr:row>25</xdr:row>
      <xdr:rowOff>464592</xdr:rowOff>
    </xdr:to>
    <xdr:grpSp>
      <xdr:nvGrpSpPr>
        <xdr:cNvPr id="2349" name="Group 2348">
          <a:extLst>
            <a:ext uri="{FF2B5EF4-FFF2-40B4-BE49-F238E27FC236}">
              <a16:creationId xmlns:a16="http://schemas.microsoft.com/office/drawing/2014/main" id="{AC739CEE-BF61-0B74-2393-95AE45FDB5BB}"/>
            </a:ext>
          </a:extLst>
        </xdr:cNvPr>
        <xdr:cNvGrpSpPr/>
      </xdr:nvGrpSpPr>
      <xdr:grpSpPr>
        <a:xfrm>
          <a:off x="1498600" y="12484100"/>
          <a:ext cx="4291003" cy="2574153"/>
          <a:chOff x="1663470" y="12551697"/>
          <a:chExt cx="4295538" cy="2565081"/>
        </a:xfrm>
      </xdr:grpSpPr>
      <xdr:pic>
        <xdr:nvPicPr>
          <xdr:cNvPr id="2677" name="Picture 2676">
            <a:extLst>
              <a:ext uri="{FF2B5EF4-FFF2-40B4-BE49-F238E27FC236}">
                <a16:creationId xmlns:a16="http://schemas.microsoft.com/office/drawing/2014/main" id="{35196B91-FA40-3E61-34C1-C4D011C4798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63470" y="12551697"/>
            <a:ext cx="4295538" cy="2553335"/>
          </a:xfrm>
          <a:prstGeom prst="rect">
            <a:avLst/>
          </a:prstGeom>
        </xdr:spPr>
      </xdr:pic>
      <xdr:sp macro="" textlink="'Demographic Data'!A43">
        <xdr:nvSpPr>
          <xdr:cNvPr id="2345" name="Juror 9a">
            <a:extLst>
              <a:ext uri="{FF2B5EF4-FFF2-40B4-BE49-F238E27FC236}">
                <a16:creationId xmlns:a16="http://schemas.microsoft.com/office/drawing/2014/main" id="{00000000-0008-0000-0100-000029090000}"/>
              </a:ext>
            </a:extLst>
          </xdr:cNvPr>
          <xdr:cNvSpPr/>
        </xdr:nvSpPr>
        <xdr:spPr>
          <a:xfrm>
            <a:off x="3657146" y="12571398"/>
            <a:ext cx="2255298" cy="251733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B694B5E-77A8-47FC-BA44-1C7DA9791C70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43">
        <xdr:nvSpPr>
          <xdr:cNvPr id="2537" name="Juror 9b">
            <a:extLst>
              <a:ext uri="{FF2B5EF4-FFF2-40B4-BE49-F238E27FC236}">
                <a16:creationId xmlns:a16="http://schemas.microsoft.com/office/drawing/2014/main" id="{C488DE46-4432-4384-9913-F36BE5CD1F12}"/>
              </a:ext>
            </a:extLst>
          </xdr:cNvPr>
          <xdr:cNvSpPr/>
        </xdr:nvSpPr>
        <xdr:spPr>
          <a:xfrm>
            <a:off x="1677458" y="14820445"/>
            <a:ext cx="4252987" cy="2963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229FCC86-2FAD-49F1-8287-0A9BFE73DA3D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4B3973CC-C31D-45F8-B258-37DD6CC25EF3}"/>
              </a:ext>
            </a:extLst>
          </xdr:cNvPr>
          <xdr:cNvCxnSpPr/>
        </xdr:nvCxnSpPr>
        <xdr:spPr>
          <a:xfrm>
            <a:off x="1764558" y="14817649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A6377333-D107-182B-96A7-DCAFA150B98D}"/>
              </a:ext>
            </a:extLst>
          </xdr:cNvPr>
          <xdr:cNvSpPr txBox="1"/>
        </xdr:nvSpPr>
        <xdr:spPr>
          <a:xfrm>
            <a:off x="2079624" y="14406563"/>
            <a:ext cx="1234440" cy="376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</a:t>
            </a:r>
            <a:r>
              <a:rPr lang="en-US" sz="2400" baseline="0">
                <a:solidFill>
                  <a:schemeClr val="bg1"/>
                </a:solidFill>
                <a:latin typeface="Raleway" pitchFamily="2" charset="0"/>
              </a:rPr>
              <a:t> 9</a:t>
            </a:r>
            <a:endParaRPr lang="en-US" sz="2400">
              <a:solidFill>
                <a:schemeClr val="bg1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1</xdr:col>
      <xdr:colOff>69850</xdr:colOff>
      <xdr:row>26</xdr:row>
      <xdr:rowOff>40186</xdr:rowOff>
    </xdr:from>
    <xdr:to>
      <xdr:col>3</xdr:col>
      <xdr:colOff>2174638</xdr:colOff>
      <xdr:row>30</xdr:row>
      <xdr:rowOff>452664</xdr:rowOff>
    </xdr:to>
    <xdr:grpSp>
      <xdr:nvGrpSpPr>
        <xdr:cNvPr id="2351" name="Group 2350">
          <a:extLst>
            <a:ext uri="{FF2B5EF4-FFF2-40B4-BE49-F238E27FC236}">
              <a16:creationId xmlns:a16="http://schemas.microsoft.com/office/drawing/2014/main" id="{8CB81CBE-3C00-1212-9EE0-43C27CF02046}"/>
            </a:ext>
          </a:extLst>
        </xdr:cNvPr>
        <xdr:cNvGrpSpPr/>
      </xdr:nvGrpSpPr>
      <xdr:grpSpPr>
        <a:xfrm>
          <a:off x="1498600" y="15239365"/>
          <a:ext cx="4295538" cy="2562406"/>
          <a:chOff x="1666284" y="15291826"/>
          <a:chExt cx="4295538" cy="2553335"/>
        </a:xfrm>
      </xdr:grpSpPr>
      <xdr:pic>
        <xdr:nvPicPr>
          <xdr:cNvPr id="2675" name="Picture 2674">
            <a:extLst>
              <a:ext uri="{FF2B5EF4-FFF2-40B4-BE49-F238E27FC236}">
                <a16:creationId xmlns:a16="http://schemas.microsoft.com/office/drawing/2014/main" id="{333411A5-7534-D356-6E4F-305C7314CF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66284" y="15291826"/>
            <a:ext cx="4295538" cy="2553335"/>
          </a:xfrm>
          <a:prstGeom prst="rect">
            <a:avLst/>
          </a:prstGeom>
        </xdr:spPr>
      </xdr:pic>
      <xdr:sp macro="" textlink="'Demographic Data'!A45">
        <xdr:nvSpPr>
          <xdr:cNvPr id="2347" name="Juror 11a">
            <a:extLst>
              <a:ext uri="{FF2B5EF4-FFF2-40B4-BE49-F238E27FC236}">
                <a16:creationId xmlns:a16="http://schemas.microsoft.com/office/drawing/2014/main" id="{00000000-0008-0000-0100-00002B090000}"/>
              </a:ext>
            </a:extLst>
          </xdr:cNvPr>
          <xdr:cNvSpPr/>
        </xdr:nvSpPr>
        <xdr:spPr>
          <a:xfrm>
            <a:off x="3661909" y="15305772"/>
            <a:ext cx="2250535" cy="25308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BD5B884-5B2B-48C0-9591-F8E379C45092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45">
        <xdr:nvSpPr>
          <xdr:cNvPr id="2539" name="Juror 11b">
            <a:extLst>
              <a:ext uri="{FF2B5EF4-FFF2-40B4-BE49-F238E27FC236}">
                <a16:creationId xmlns:a16="http://schemas.microsoft.com/office/drawing/2014/main" id="{A8A459DA-275F-40B0-8C9F-0FCAD252A43C}"/>
              </a:ext>
            </a:extLst>
          </xdr:cNvPr>
          <xdr:cNvSpPr/>
        </xdr:nvSpPr>
        <xdr:spPr>
          <a:xfrm>
            <a:off x="1688042" y="17563043"/>
            <a:ext cx="4258279" cy="23905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DDD886A3-7BA9-498D-ABF5-17510CCC2346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4AF883E3-828B-4F34-9EF6-9B6AE7F5788F}"/>
              </a:ext>
            </a:extLst>
          </xdr:cNvPr>
          <xdr:cNvCxnSpPr/>
        </xdr:nvCxnSpPr>
        <xdr:spPr>
          <a:xfrm>
            <a:off x="1774599" y="17563133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A5500744-F3F0-842C-FB77-24D0848CEE75}"/>
              </a:ext>
            </a:extLst>
          </xdr:cNvPr>
          <xdr:cNvSpPr txBox="1"/>
        </xdr:nvSpPr>
        <xdr:spPr>
          <a:xfrm>
            <a:off x="2031999" y="17202831"/>
            <a:ext cx="1307592" cy="376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11</a:t>
            </a:r>
          </a:p>
        </xdr:txBody>
      </xdr:sp>
    </xdr:grpSp>
    <xdr:clientData/>
  </xdr:twoCellAnchor>
  <xdr:twoCellAnchor>
    <xdr:from>
      <xdr:col>5</xdr:col>
      <xdr:colOff>72571</xdr:colOff>
      <xdr:row>26</xdr:row>
      <xdr:rowOff>40185</xdr:rowOff>
    </xdr:from>
    <xdr:to>
      <xdr:col>6</xdr:col>
      <xdr:colOff>2327037</xdr:colOff>
      <xdr:row>30</xdr:row>
      <xdr:rowOff>452663</xdr:rowOff>
    </xdr:to>
    <xdr:grpSp>
      <xdr:nvGrpSpPr>
        <xdr:cNvPr id="2353" name="Group 2352">
          <a:extLst>
            <a:ext uri="{FF2B5EF4-FFF2-40B4-BE49-F238E27FC236}">
              <a16:creationId xmlns:a16="http://schemas.microsoft.com/office/drawing/2014/main" id="{7A98DED3-19C0-4B96-D920-D493930F6667}"/>
            </a:ext>
          </a:extLst>
        </xdr:cNvPr>
        <xdr:cNvGrpSpPr/>
      </xdr:nvGrpSpPr>
      <xdr:grpSpPr>
        <a:xfrm>
          <a:off x="6413500" y="15239364"/>
          <a:ext cx="4295537" cy="2562406"/>
          <a:chOff x="6463022" y="15291826"/>
          <a:chExt cx="4295538" cy="2553335"/>
        </a:xfrm>
      </xdr:grpSpPr>
      <xdr:pic>
        <xdr:nvPicPr>
          <xdr:cNvPr id="2674" name="Picture 2673">
            <a:extLst>
              <a:ext uri="{FF2B5EF4-FFF2-40B4-BE49-F238E27FC236}">
                <a16:creationId xmlns:a16="http://schemas.microsoft.com/office/drawing/2014/main" id="{0B119C65-9667-395D-CB6B-CF330D489A8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022" y="15291826"/>
            <a:ext cx="4295538" cy="2553335"/>
          </a:xfrm>
          <a:prstGeom prst="rect">
            <a:avLst/>
          </a:prstGeom>
        </xdr:spPr>
      </xdr:pic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1935FBE9-DCD9-403C-A1B1-A87018E1E902}"/>
              </a:ext>
            </a:extLst>
          </xdr:cNvPr>
          <xdr:cNvSpPr txBox="1"/>
        </xdr:nvSpPr>
        <xdr:spPr>
          <a:xfrm>
            <a:off x="6770684" y="17140478"/>
            <a:ext cx="1309686" cy="4325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12</a:t>
            </a:r>
          </a:p>
        </xdr:txBody>
      </xdr:sp>
      <xdr:cxnSp macro="">
        <xdr:nvCxnSpPr>
          <xdr:cNvPr id="2692" name="Straight Connector 2691">
            <a:extLst>
              <a:ext uri="{FF2B5EF4-FFF2-40B4-BE49-F238E27FC236}">
                <a16:creationId xmlns:a16="http://schemas.microsoft.com/office/drawing/2014/main" id="{65D0B134-A5E6-40DF-B3F8-3C48288DA78C}"/>
              </a:ext>
            </a:extLst>
          </xdr:cNvPr>
          <xdr:cNvCxnSpPr/>
        </xdr:nvCxnSpPr>
        <xdr:spPr>
          <a:xfrm>
            <a:off x="6530628" y="17532433"/>
            <a:ext cx="4116952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'Demographic Data'!B46">
        <xdr:nvSpPr>
          <xdr:cNvPr id="2696" name="Juror 10b">
            <a:extLst>
              <a:ext uri="{FF2B5EF4-FFF2-40B4-BE49-F238E27FC236}">
                <a16:creationId xmlns:a16="http://schemas.microsoft.com/office/drawing/2014/main" id="{5AEDBE7B-E092-4F26-B2B4-589F99734D87}"/>
              </a:ext>
            </a:extLst>
          </xdr:cNvPr>
          <xdr:cNvSpPr/>
        </xdr:nvSpPr>
        <xdr:spPr>
          <a:xfrm>
            <a:off x="6477451" y="17577123"/>
            <a:ext cx="4274155" cy="25228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961B5062-2D00-420B-AE5F-B10C5D059A01}" type="TxLink">
              <a:rPr lang="en-US" sz="11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sp macro="" textlink="'Demographic Data'!A46">
        <xdr:nvSpPr>
          <xdr:cNvPr id="2700" name="Juror 12a">
            <a:extLst>
              <a:ext uri="{FF2B5EF4-FFF2-40B4-BE49-F238E27FC236}">
                <a16:creationId xmlns:a16="http://schemas.microsoft.com/office/drawing/2014/main" id="{2FDBC6EC-5640-4340-A2C2-E7F8A9050C31}"/>
              </a:ext>
            </a:extLst>
          </xdr:cNvPr>
          <xdr:cNvSpPr/>
        </xdr:nvSpPr>
        <xdr:spPr>
          <a:xfrm>
            <a:off x="8455932" y="15310411"/>
            <a:ext cx="2224342" cy="249907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6EE70396-527E-4E0F-B554-41B84D46FA0B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8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69850</xdr:colOff>
      <xdr:row>31</xdr:row>
      <xdr:rowOff>40003</xdr:rowOff>
    </xdr:from>
    <xdr:to>
      <xdr:col>3</xdr:col>
      <xdr:colOff>2174638</xdr:colOff>
      <xdr:row>35</xdr:row>
      <xdr:rowOff>452928</xdr:rowOff>
    </xdr:to>
    <xdr:grpSp>
      <xdr:nvGrpSpPr>
        <xdr:cNvPr id="2355" name="Group 2354">
          <a:extLst>
            <a:ext uri="{FF2B5EF4-FFF2-40B4-BE49-F238E27FC236}">
              <a16:creationId xmlns:a16="http://schemas.microsoft.com/office/drawing/2014/main" id="{953049BC-E278-AC6F-1DE3-15E8436A5E7C}"/>
            </a:ext>
          </a:extLst>
        </xdr:cNvPr>
        <xdr:cNvGrpSpPr/>
      </xdr:nvGrpSpPr>
      <xdr:grpSpPr>
        <a:xfrm>
          <a:off x="1498600" y="17994629"/>
          <a:ext cx="4295538" cy="2562853"/>
          <a:chOff x="1666284" y="17994184"/>
          <a:chExt cx="4295538" cy="2556049"/>
        </a:xfrm>
      </xdr:grpSpPr>
      <xdr:pic>
        <xdr:nvPicPr>
          <xdr:cNvPr id="2671" name="Picture 2670">
            <a:extLst>
              <a:ext uri="{FF2B5EF4-FFF2-40B4-BE49-F238E27FC236}">
                <a16:creationId xmlns:a16="http://schemas.microsoft.com/office/drawing/2014/main" id="{B89AF16F-DF00-D86F-6BA9-45B409280F9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66284" y="17994184"/>
            <a:ext cx="4295538" cy="2556049"/>
          </a:xfrm>
          <a:prstGeom prst="rect">
            <a:avLst/>
          </a:prstGeom>
        </xdr:spPr>
      </xdr:pic>
      <xdr:sp macro="" textlink="'Demographic Data'!A47">
        <xdr:nvSpPr>
          <xdr:cNvPr id="2093" name="Juror 13a">
            <a:extLst>
              <a:ext uri="{FF2B5EF4-FFF2-40B4-BE49-F238E27FC236}">
                <a16:creationId xmlns:a16="http://schemas.microsoft.com/office/drawing/2014/main" id="{00000000-0008-0000-0100-00002D080000}"/>
              </a:ext>
            </a:extLst>
          </xdr:cNvPr>
          <xdr:cNvSpPr/>
        </xdr:nvSpPr>
        <xdr:spPr>
          <a:xfrm>
            <a:off x="3676196" y="18006782"/>
            <a:ext cx="2236248" cy="25268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A651324B-1B7E-4F60-B078-3CD2E9B655BF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47">
        <xdr:nvSpPr>
          <xdr:cNvPr id="2541" name="Juror 13b">
            <a:extLst>
              <a:ext uri="{FF2B5EF4-FFF2-40B4-BE49-F238E27FC236}">
                <a16:creationId xmlns:a16="http://schemas.microsoft.com/office/drawing/2014/main" id="{1C920AC2-A3D5-4632-A814-FFE4802C3926}"/>
              </a:ext>
            </a:extLst>
          </xdr:cNvPr>
          <xdr:cNvSpPr/>
        </xdr:nvSpPr>
        <xdr:spPr>
          <a:xfrm>
            <a:off x="1672168" y="20265574"/>
            <a:ext cx="4268862" cy="2343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C03A71B9-292D-43F1-9759-714AF59C3778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5D36143A-3A90-4A55-A9B3-851F99D9A8C1}"/>
              </a:ext>
            </a:extLst>
          </xdr:cNvPr>
          <xdr:cNvCxnSpPr/>
        </xdr:nvCxnSpPr>
        <xdr:spPr>
          <a:xfrm>
            <a:off x="1765597" y="20263114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5EF171A3-B9E4-8009-9C81-01FD97D7421E}"/>
              </a:ext>
            </a:extLst>
          </xdr:cNvPr>
          <xdr:cNvSpPr txBox="1"/>
        </xdr:nvSpPr>
        <xdr:spPr>
          <a:xfrm>
            <a:off x="2000250" y="19856223"/>
            <a:ext cx="1307592" cy="3741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13</a:t>
            </a:r>
          </a:p>
        </xdr:txBody>
      </xdr:sp>
    </xdr:grpSp>
    <xdr:clientData/>
  </xdr:twoCellAnchor>
  <xdr:twoCellAnchor>
    <xdr:from>
      <xdr:col>5</xdr:col>
      <xdr:colOff>72570</xdr:colOff>
      <xdr:row>31</xdr:row>
      <xdr:rowOff>40005</xdr:rowOff>
    </xdr:from>
    <xdr:to>
      <xdr:col>6</xdr:col>
      <xdr:colOff>2327036</xdr:colOff>
      <xdr:row>35</xdr:row>
      <xdr:rowOff>455198</xdr:rowOff>
    </xdr:to>
    <xdr:grpSp>
      <xdr:nvGrpSpPr>
        <xdr:cNvPr id="2357" name="Group 2356">
          <a:extLst>
            <a:ext uri="{FF2B5EF4-FFF2-40B4-BE49-F238E27FC236}">
              <a16:creationId xmlns:a16="http://schemas.microsoft.com/office/drawing/2014/main" id="{34A9319D-787D-3C82-9395-20C33708ADC8}"/>
            </a:ext>
          </a:extLst>
        </xdr:cNvPr>
        <xdr:cNvGrpSpPr/>
      </xdr:nvGrpSpPr>
      <xdr:grpSpPr>
        <a:xfrm>
          <a:off x="6413499" y="17994631"/>
          <a:ext cx="4295537" cy="2565121"/>
          <a:chOff x="6463022" y="17994184"/>
          <a:chExt cx="4295538" cy="2556049"/>
        </a:xfrm>
      </xdr:grpSpPr>
      <xdr:pic>
        <xdr:nvPicPr>
          <xdr:cNvPr id="2670" name="Picture 2669">
            <a:extLst>
              <a:ext uri="{FF2B5EF4-FFF2-40B4-BE49-F238E27FC236}">
                <a16:creationId xmlns:a16="http://schemas.microsoft.com/office/drawing/2014/main" id="{0C1AB43B-7185-0AEE-8C63-CC54F2EFC6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022" y="17994184"/>
            <a:ext cx="4295538" cy="2556049"/>
          </a:xfrm>
          <a:prstGeom prst="rect">
            <a:avLst/>
          </a:prstGeom>
        </xdr:spPr>
      </xdr:pic>
      <xdr:sp macro="" textlink="'Demographic Data'!A48">
        <xdr:nvSpPr>
          <xdr:cNvPr id="2094" name="Juror 14a">
            <a:extLst>
              <a:ext uri="{FF2B5EF4-FFF2-40B4-BE49-F238E27FC236}">
                <a16:creationId xmlns:a16="http://schemas.microsoft.com/office/drawing/2014/main" id="{00000000-0008-0000-0100-00002E080000}"/>
              </a:ext>
            </a:extLst>
          </xdr:cNvPr>
          <xdr:cNvSpPr/>
        </xdr:nvSpPr>
        <xdr:spPr>
          <a:xfrm>
            <a:off x="8438243" y="18006782"/>
            <a:ext cx="2243392" cy="25268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E7B980E-85C2-4692-800C-3134DA0691B3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48">
        <xdr:nvSpPr>
          <xdr:cNvPr id="2542" name="Juror 14b">
            <a:extLst>
              <a:ext uri="{FF2B5EF4-FFF2-40B4-BE49-F238E27FC236}">
                <a16:creationId xmlns:a16="http://schemas.microsoft.com/office/drawing/2014/main" id="{BB89BA9F-FD30-4311-BBE0-C67982312C57}"/>
              </a:ext>
            </a:extLst>
          </xdr:cNvPr>
          <xdr:cNvSpPr/>
        </xdr:nvSpPr>
        <xdr:spPr>
          <a:xfrm>
            <a:off x="6464904" y="20270871"/>
            <a:ext cx="4274155" cy="2396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69AA81B4-5825-4F09-AE9F-9DC50FE2E7F8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01807A9E-B9E5-4748-A9E8-21A9C94F3071}"/>
              </a:ext>
            </a:extLst>
          </xdr:cNvPr>
          <xdr:cNvCxnSpPr/>
        </xdr:nvCxnSpPr>
        <xdr:spPr>
          <a:xfrm>
            <a:off x="6578463" y="20271505"/>
            <a:ext cx="4116952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A2E5B9C-B4DC-5C0C-77A2-AEEC615E8334}"/>
              </a:ext>
            </a:extLst>
          </xdr:cNvPr>
          <xdr:cNvSpPr txBox="1"/>
        </xdr:nvSpPr>
        <xdr:spPr>
          <a:xfrm>
            <a:off x="6803569" y="19843752"/>
            <a:ext cx="1307592" cy="4372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14</a:t>
            </a:r>
          </a:p>
        </xdr:txBody>
      </xdr:sp>
    </xdr:grpSp>
    <xdr:clientData/>
  </xdr:twoCellAnchor>
  <xdr:twoCellAnchor>
    <xdr:from>
      <xdr:col>1</xdr:col>
      <xdr:colOff>69850</xdr:colOff>
      <xdr:row>36</xdr:row>
      <xdr:rowOff>39825</xdr:rowOff>
    </xdr:from>
    <xdr:to>
      <xdr:col>3</xdr:col>
      <xdr:colOff>2170103</xdr:colOff>
      <xdr:row>40</xdr:row>
      <xdr:rowOff>455015</xdr:rowOff>
    </xdr:to>
    <xdr:grpSp>
      <xdr:nvGrpSpPr>
        <xdr:cNvPr id="2359" name="Group 2358">
          <a:extLst>
            <a:ext uri="{FF2B5EF4-FFF2-40B4-BE49-F238E27FC236}">
              <a16:creationId xmlns:a16="http://schemas.microsoft.com/office/drawing/2014/main" id="{42D2A269-9B4F-2F7F-3322-2D367EEA899D}"/>
            </a:ext>
          </a:extLst>
        </xdr:cNvPr>
        <xdr:cNvGrpSpPr/>
      </xdr:nvGrpSpPr>
      <xdr:grpSpPr>
        <a:xfrm>
          <a:off x="1498600" y="20749896"/>
          <a:ext cx="4291003" cy="2565119"/>
          <a:chOff x="1666284" y="20772310"/>
          <a:chExt cx="4295538" cy="2556048"/>
        </a:xfrm>
      </xdr:grpSpPr>
      <xdr:pic>
        <xdr:nvPicPr>
          <xdr:cNvPr id="2669" name="Picture 2668">
            <a:extLst>
              <a:ext uri="{FF2B5EF4-FFF2-40B4-BE49-F238E27FC236}">
                <a16:creationId xmlns:a16="http://schemas.microsoft.com/office/drawing/2014/main" id="{DE2BB473-E32C-85C5-533C-855EC1A6A608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66284" y="20772310"/>
            <a:ext cx="4295538" cy="2556048"/>
          </a:xfrm>
          <a:prstGeom prst="rect">
            <a:avLst/>
          </a:prstGeom>
        </xdr:spPr>
      </xdr:pic>
      <xdr:sp macro="" textlink="'Demographic Data'!A49">
        <xdr:nvSpPr>
          <xdr:cNvPr id="2095" name="Juror 15a">
            <a:extLst>
              <a:ext uri="{FF2B5EF4-FFF2-40B4-BE49-F238E27FC236}">
                <a16:creationId xmlns:a16="http://schemas.microsoft.com/office/drawing/2014/main" id="{00000000-0008-0000-0100-00002F080000}"/>
              </a:ext>
            </a:extLst>
          </xdr:cNvPr>
          <xdr:cNvSpPr/>
        </xdr:nvSpPr>
        <xdr:spPr>
          <a:xfrm>
            <a:off x="3661909" y="20787959"/>
            <a:ext cx="2250535" cy="251812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C8FED5B3-E64D-42F2-BB5B-D3B877B0F586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49">
        <xdr:nvSpPr>
          <xdr:cNvPr id="2543" name="Juror 15b">
            <a:extLst>
              <a:ext uri="{FF2B5EF4-FFF2-40B4-BE49-F238E27FC236}">
                <a16:creationId xmlns:a16="http://schemas.microsoft.com/office/drawing/2014/main" id="{4EFB0F32-C94D-4F47-9058-42C9A2C274D4}"/>
              </a:ext>
            </a:extLst>
          </xdr:cNvPr>
          <xdr:cNvSpPr/>
        </xdr:nvSpPr>
        <xdr:spPr>
          <a:xfrm>
            <a:off x="1682750" y="23061083"/>
            <a:ext cx="4274155" cy="2525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286AE60D-F4C2-46EA-8723-7B44E950D1CA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60" name="Straight Connector 59">
            <a:extLst>
              <a:ext uri="{FF2B5EF4-FFF2-40B4-BE49-F238E27FC236}">
                <a16:creationId xmlns:a16="http://schemas.microsoft.com/office/drawing/2014/main" id="{B59C1D3A-4A8C-418F-B57D-BA67A913F865}"/>
              </a:ext>
            </a:extLst>
          </xdr:cNvPr>
          <xdr:cNvCxnSpPr/>
        </xdr:nvCxnSpPr>
        <xdr:spPr>
          <a:xfrm>
            <a:off x="1769829" y="23045113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5D560E64-2A8A-28EC-BC9F-8A1212C0DE74}"/>
              </a:ext>
            </a:extLst>
          </xdr:cNvPr>
          <xdr:cNvSpPr txBox="1"/>
        </xdr:nvSpPr>
        <xdr:spPr>
          <a:xfrm>
            <a:off x="2008187" y="22668366"/>
            <a:ext cx="1307592" cy="376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15</a:t>
            </a:r>
          </a:p>
        </xdr:txBody>
      </xdr:sp>
    </xdr:grpSp>
    <xdr:clientData/>
  </xdr:twoCellAnchor>
  <xdr:twoCellAnchor>
    <xdr:from>
      <xdr:col>5</xdr:col>
      <xdr:colOff>72570</xdr:colOff>
      <xdr:row>36</xdr:row>
      <xdr:rowOff>39824</xdr:rowOff>
    </xdr:from>
    <xdr:to>
      <xdr:col>6</xdr:col>
      <xdr:colOff>2327036</xdr:colOff>
      <xdr:row>40</xdr:row>
      <xdr:rowOff>455015</xdr:rowOff>
    </xdr:to>
    <xdr:grpSp>
      <xdr:nvGrpSpPr>
        <xdr:cNvPr id="2361" name="Group 2360">
          <a:extLst>
            <a:ext uri="{FF2B5EF4-FFF2-40B4-BE49-F238E27FC236}">
              <a16:creationId xmlns:a16="http://schemas.microsoft.com/office/drawing/2014/main" id="{B5F53EA6-FDC5-78B1-6690-768378FB802C}"/>
            </a:ext>
          </a:extLst>
        </xdr:cNvPr>
        <xdr:cNvGrpSpPr/>
      </xdr:nvGrpSpPr>
      <xdr:grpSpPr>
        <a:xfrm>
          <a:off x="6413499" y="20749895"/>
          <a:ext cx="4295537" cy="2565120"/>
          <a:chOff x="6463022" y="20772310"/>
          <a:chExt cx="4295538" cy="2556048"/>
        </a:xfrm>
      </xdr:grpSpPr>
      <xdr:pic>
        <xdr:nvPicPr>
          <xdr:cNvPr id="2668" name="Picture 2667">
            <a:extLst>
              <a:ext uri="{FF2B5EF4-FFF2-40B4-BE49-F238E27FC236}">
                <a16:creationId xmlns:a16="http://schemas.microsoft.com/office/drawing/2014/main" id="{DFAEFF3A-177C-A574-E845-BF6624CDFC3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63022" y="20772310"/>
            <a:ext cx="4295538" cy="2556048"/>
          </a:xfrm>
          <a:prstGeom prst="rect">
            <a:avLst/>
          </a:prstGeom>
        </xdr:spPr>
      </xdr:pic>
      <xdr:sp macro="" textlink="'Demographic Data'!A50">
        <xdr:nvSpPr>
          <xdr:cNvPr id="2096" name="Juror 16a">
            <a:extLst>
              <a:ext uri="{FF2B5EF4-FFF2-40B4-BE49-F238E27FC236}">
                <a16:creationId xmlns:a16="http://schemas.microsoft.com/office/drawing/2014/main" id="{00000000-0008-0000-0100-000030080000}"/>
              </a:ext>
            </a:extLst>
          </xdr:cNvPr>
          <xdr:cNvSpPr/>
        </xdr:nvSpPr>
        <xdr:spPr>
          <a:xfrm>
            <a:off x="8462056" y="20787959"/>
            <a:ext cx="2219579" cy="251812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A659D504-D775-4244-BC46-74361451BFD6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50">
        <xdr:nvSpPr>
          <xdr:cNvPr id="2544" name="Juror 16b">
            <a:extLst>
              <a:ext uri="{FF2B5EF4-FFF2-40B4-BE49-F238E27FC236}">
                <a16:creationId xmlns:a16="http://schemas.microsoft.com/office/drawing/2014/main" id="{4D584808-96C3-4C39-B844-47F2403E3C76}"/>
              </a:ext>
            </a:extLst>
          </xdr:cNvPr>
          <xdr:cNvSpPr/>
        </xdr:nvSpPr>
        <xdr:spPr>
          <a:xfrm>
            <a:off x="6475487" y="23054286"/>
            <a:ext cx="4247697" cy="2313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43C90DEC-6044-4F09-A3C7-569B9398A721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6C584314-95B4-4674-B71B-17D43DD34273}"/>
              </a:ext>
            </a:extLst>
          </xdr:cNvPr>
          <xdr:cNvCxnSpPr/>
        </xdr:nvCxnSpPr>
        <xdr:spPr>
          <a:xfrm>
            <a:off x="6548676" y="23037252"/>
            <a:ext cx="4116952" cy="0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E0B41CD4-EE72-A464-9112-04B4709C6E37}"/>
              </a:ext>
            </a:extLst>
          </xdr:cNvPr>
          <xdr:cNvSpPr txBox="1"/>
        </xdr:nvSpPr>
        <xdr:spPr>
          <a:xfrm>
            <a:off x="6811508" y="22609404"/>
            <a:ext cx="1307592" cy="4372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16</a:t>
            </a:r>
          </a:p>
        </xdr:txBody>
      </xdr:sp>
    </xdr:grpSp>
    <xdr:clientData/>
  </xdr:twoCellAnchor>
  <xdr:twoCellAnchor>
    <xdr:from>
      <xdr:col>1</xdr:col>
      <xdr:colOff>69850</xdr:colOff>
      <xdr:row>41</xdr:row>
      <xdr:rowOff>39642</xdr:rowOff>
    </xdr:from>
    <xdr:to>
      <xdr:col>3</xdr:col>
      <xdr:colOff>2170096</xdr:colOff>
      <xdr:row>45</xdr:row>
      <xdr:rowOff>463793</xdr:rowOff>
    </xdr:to>
    <xdr:grpSp>
      <xdr:nvGrpSpPr>
        <xdr:cNvPr id="2363" name="Group 2362">
          <a:extLst>
            <a:ext uri="{FF2B5EF4-FFF2-40B4-BE49-F238E27FC236}">
              <a16:creationId xmlns:a16="http://schemas.microsoft.com/office/drawing/2014/main" id="{CACE49DF-8160-D716-0E71-B2248BF26742}"/>
            </a:ext>
          </a:extLst>
        </xdr:cNvPr>
        <xdr:cNvGrpSpPr/>
      </xdr:nvGrpSpPr>
      <xdr:grpSpPr>
        <a:xfrm>
          <a:off x="1498600" y="23505161"/>
          <a:ext cx="4290996" cy="2574079"/>
          <a:chOff x="1678189" y="23527823"/>
          <a:chExt cx="4295531" cy="2565008"/>
        </a:xfrm>
      </xdr:grpSpPr>
      <xdr:pic>
        <xdr:nvPicPr>
          <xdr:cNvPr id="2691" name="Picture 2690">
            <a:extLst>
              <a:ext uri="{FF2B5EF4-FFF2-40B4-BE49-F238E27FC236}">
                <a16:creationId xmlns:a16="http://schemas.microsoft.com/office/drawing/2014/main" id="{5A4C552E-AED7-B1EE-9652-E98B5816523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8189" y="23527823"/>
            <a:ext cx="4295531" cy="2556051"/>
          </a:xfrm>
          <a:prstGeom prst="rect">
            <a:avLst/>
          </a:prstGeom>
        </xdr:spPr>
      </xdr:pic>
      <xdr:sp macro="" textlink="'Demographic Data'!A51">
        <xdr:nvSpPr>
          <xdr:cNvPr id="2097" name="Juror 17a">
            <a:extLst>
              <a:ext uri="{FF2B5EF4-FFF2-40B4-BE49-F238E27FC236}">
                <a16:creationId xmlns:a16="http://schemas.microsoft.com/office/drawing/2014/main" id="{00000000-0008-0000-0100-000031080000}"/>
              </a:ext>
            </a:extLst>
          </xdr:cNvPr>
          <xdr:cNvSpPr/>
        </xdr:nvSpPr>
        <xdr:spPr>
          <a:xfrm>
            <a:off x="3666671" y="23544439"/>
            <a:ext cx="2226723" cy="25483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C999D873-AC84-432E-8636-BCE8AB27A90F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51">
        <xdr:nvSpPr>
          <xdr:cNvPr id="2545" name="Juror 17b">
            <a:extLst>
              <a:ext uri="{FF2B5EF4-FFF2-40B4-BE49-F238E27FC236}">
                <a16:creationId xmlns:a16="http://schemas.microsoft.com/office/drawing/2014/main" id="{4739D0FC-472D-4946-A3D8-A5834C3D7691}"/>
              </a:ext>
            </a:extLst>
          </xdr:cNvPr>
          <xdr:cNvSpPr/>
        </xdr:nvSpPr>
        <xdr:spPr>
          <a:xfrm>
            <a:off x="1688042" y="25820310"/>
            <a:ext cx="4274154" cy="231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82F610B6-F5F5-45D5-91BB-3E087FD81304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36D2AA04-69B1-4AB2-B8FF-90C63DF10B34}"/>
              </a:ext>
            </a:extLst>
          </xdr:cNvPr>
          <xdr:cNvCxnSpPr/>
        </xdr:nvCxnSpPr>
        <xdr:spPr>
          <a:xfrm>
            <a:off x="1769299" y="25795878"/>
            <a:ext cx="4111659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1AC9437A-12CC-D9CB-6FA6-648C1363B159}"/>
              </a:ext>
            </a:extLst>
          </xdr:cNvPr>
          <xdr:cNvSpPr txBox="1"/>
        </xdr:nvSpPr>
        <xdr:spPr>
          <a:xfrm>
            <a:off x="2000250" y="25424946"/>
            <a:ext cx="1307592" cy="3760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17</a:t>
            </a:r>
          </a:p>
        </xdr:txBody>
      </xdr:sp>
    </xdr:grpSp>
    <xdr:clientData/>
  </xdr:twoCellAnchor>
  <xdr:twoCellAnchor>
    <xdr:from>
      <xdr:col>5</xdr:col>
      <xdr:colOff>72570</xdr:colOff>
      <xdr:row>41</xdr:row>
      <xdr:rowOff>39641</xdr:rowOff>
    </xdr:from>
    <xdr:to>
      <xdr:col>6</xdr:col>
      <xdr:colOff>2327029</xdr:colOff>
      <xdr:row>45</xdr:row>
      <xdr:rowOff>452568</xdr:rowOff>
    </xdr:to>
    <xdr:grpSp>
      <xdr:nvGrpSpPr>
        <xdr:cNvPr id="2365" name="Group 2364">
          <a:extLst>
            <a:ext uri="{FF2B5EF4-FFF2-40B4-BE49-F238E27FC236}">
              <a16:creationId xmlns:a16="http://schemas.microsoft.com/office/drawing/2014/main" id="{00EC7D89-FAA6-6C17-CEC1-7B938D9E3B1B}"/>
            </a:ext>
          </a:extLst>
        </xdr:cNvPr>
        <xdr:cNvGrpSpPr/>
      </xdr:nvGrpSpPr>
      <xdr:grpSpPr>
        <a:xfrm>
          <a:off x="6413499" y="23505160"/>
          <a:ext cx="4295530" cy="2562855"/>
          <a:chOff x="6454524" y="23527823"/>
          <a:chExt cx="4295531" cy="2556051"/>
        </a:xfrm>
      </xdr:grpSpPr>
      <xdr:pic>
        <xdr:nvPicPr>
          <xdr:cNvPr id="2690" name="Picture 2689">
            <a:extLst>
              <a:ext uri="{FF2B5EF4-FFF2-40B4-BE49-F238E27FC236}">
                <a16:creationId xmlns:a16="http://schemas.microsoft.com/office/drawing/2014/main" id="{C0E2B666-70C3-B16D-FE68-830B914A198A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54524" y="23527823"/>
            <a:ext cx="4295531" cy="2556051"/>
          </a:xfrm>
          <a:prstGeom prst="rect">
            <a:avLst/>
          </a:prstGeom>
        </xdr:spPr>
      </xdr:pic>
      <xdr:sp macro="" textlink="'Demographic Data'!A52">
        <xdr:nvSpPr>
          <xdr:cNvPr id="2098" name="Juror 18a">
            <a:extLst>
              <a:ext uri="{FF2B5EF4-FFF2-40B4-BE49-F238E27FC236}">
                <a16:creationId xmlns:a16="http://schemas.microsoft.com/office/drawing/2014/main" id="{00000000-0008-0000-0100-000032080000}"/>
              </a:ext>
            </a:extLst>
          </xdr:cNvPr>
          <xdr:cNvSpPr/>
        </xdr:nvSpPr>
        <xdr:spPr>
          <a:xfrm>
            <a:off x="8457293" y="23536611"/>
            <a:ext cx="2224342" cy="25324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E4CE8FB5-D72C-4C99-944C-EDAC7D62BE5C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52">
        <xdr:nvSpPr>
          <xdr:cNvPr id="2546" name="Juror 18b">
            <a:extLst>
              <a:ext uri="{FF2B5EF4-FFF2-40B4-BE49-F238E27FC236}">
                <a16:creationId xmlns:a16="http://schemas.microsoft.com/office/drawing/2014/main" id="{66E249C9-6F01-4D3B-AD7A-40993F9B9269}"/>
              </a:ext>
            </a:extLst>
          </xdr:cNvPr>
          <xdr:cNvSpPr/>
        </xdr:nvSpPr>
        <xdr:spPr>
          <a:xfrm>
            <a:off x="6465311" y="25794961"/>
            <a:ext cx="4283110" cy="2322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794D7B14-0FAF-4839-A89D-63884393E948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D2C03557-99F9-4A2A-B7EB-72BEF75E5A7E}"/>
              </a:ext>
            </a:extLst>
          </xdr:cNvPr>
          <xdr:cNvCxnSpPr/>
        </xdr:nvCxnSpPr>
        <xdr:spPr>
          <a:xfrm>
            <a:off x="6568404" y="25795441"/>
            <a:ext cx="4116952" cy="3663"/>
          </a:xfrm>
          <a:prstGeom prst="line">
            <a:avLst/>
          </a:prstGeom>
          <a:ln w="3175">
            <a:solidFill>
              <a:schemeClr val="bg1"/>
            </a:solidFill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7EA4C6F3-F351-5364-52CC-93A2792C624D}"/>
              </a:ext>
            </a:extLst>
          </xdr:cNvPr>
          <xdr:cNvSpPr txBox="1"/>
        </xdr:nvSpPr>
        <xdr:spPr>
          <a:xfrm>
            <a:off x="6778623" y="25410210"/>
            <a:ext cx="1307592" cy="4372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</a:t>
            </a:r>
            <a:r>
              <a:rPr lang="en-US" sz="2400" baseline="0">
                <a:solidFill>
                  <a:schemeClr val="bg1"/>
                </a:solidFill>
                <a:latin typeface="Raleway" pitchFamily="2" charset="0"/>
              </a:rPr>
              <a:t> 18</a:t>
            </a:r>
            <a:endParaRPr lang="en-US" sz="2400">
              <a:solidFill>
                <a:schemeClr val="bg1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1</xdr:col>
      <xdr:colOff>69850</xdr:colOff>
      <xdr:row>46</xdr:row>
      <xdr:rowOff>39462</xdr:rowOff>
    </xdr:from>
    <xdr:to>
      <xdr:col>3</xdr:col>
      <xdr:colOff>2170097</xdr:colOff>
      <xdr:row>50</xdr:row>
      <xdr:rowOff>454654</xdr:rowOff>
    </xdr:to>
    <xdr:grpSp>
      <xdr:nvGrpSpPr>
        <xdr:cNvPr id="2367" name="Group 2366">
          <a:extLst>
            <a:ext uri="{FF2B5EF4-FFF2-40B4-BE49-F238E27FC236}">
              <a16:creationId xmlns:a16="http://schemas.microsoft.com/office/drawing/2014/main" id="{81DED22A-D4FF-471C-CA6B-0C53A022F74B}"/>
            </a:ext>
          </a:extLst>
        </xdr:cNvPr>
        <xdr:cNvGrpSpPr/>
      </xdr:nvGrpSpPr>
      <xdr:grpSpPr>
        <a:xfrm>
          <a:off x="1498600" y="26260426"/>
          <a:ext cx="4290997" cy="2565121"/>
          <a:chOff x="1681003" y="26258456"/>
          <a:chExt cx="4295532" cy="2556050"/>
        </a:xfrm>
      </xdr:grpSpPr>
      <xdr:pic>
        <xdr:nvPicPr>
          <xdr:cNvPr id="2689" name="Picture 2688">
            <a:extLst>
              <a:ext uri="{FF2B5EF4-FFF2-40B4-BE49-F238E27FC236}">
                <a16:creationId xmlns:a16="http://schemas.microsoft.com/office/drawing/2014/main" id="{5E8C2FF2-3F38-30D4-AA85-F9E2F0FDCE9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1003" y="26258456"/>
            <a:ext cx="4295532" cy="2556050"/>
          </a:xfrm>
          <a:prstGeom prst="rect">
            <a:avLst/>
          </a:prstGeom>
        </xdr:spPr>
      </xdr:pic>
      <xdr:sp macro="" textlink="'Demographic Data'!A53">
        <xdr:nvSpPr>
          <xdr:cNvPr id="2099" name="Juror 19a">
            <a:extLst>
              <a:ext uri="{FF2B5EF4-FFF2-40B4-BE49-F238E27FC236}">
                <a16:creationId xmlns:a16="http://schemas.microsoft.com/office/drawing/2014/main" id="{00000000-0008-0000-0100-000033080000}"/>
              </a:ext>
            </a:extLst>
          </xdr:cNvPr>
          <xdr:cNvSpPr/>
        </xdr:nvSpPr>
        <xdr:spPr>
          <a:xfrm>
            <a:off x="3680959" y="26266184"/>
            <a:ext cx="2226722" cy="25276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105B229C-005B-4164-8C95-82F5CD17606E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53">
        <xdr:nvSpPr>
          <xdr:cNvPr id="2547" name="Juror 19b">
            <a:extLst>
              <a:ext uri="{FF2B5EF4-FFF2-40B4-BE49-F238E27FC236}">
                <a16:creationId xmlns:a16="http://schemas.microsoft.com/office/drawing/2014/main" id="{1D876C8D-9808-4E0C-AFB1-3C128AE49903}"/>
              </a:ext>
            </a:extLst>
          </xdr:cNvPr>
          <xdr:cNvSpPr/>
        </xdr:nvSpPr>
        <xdr:spPr>
          <a:xfrm>
            <a:off x="1688042" y="28537201"/>
            <a:ext cx="4268863" cy="24707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0EE398F3-37CC-483C-A6F6-450F9CDF227C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CCD66133-D9BF-35E3-90AD-E2B960251775}"/>
              </a:ext>
            </a:extLst>
          </xdr:cNvPr>
          <xdr:cNvCxnSpPr/>
        </xdr:nvCxnSpPr>
        <xdr:spPr>
          <a:xfrm>
            <a:off x="1785938" y="28539848"/>
            <a:ext cx="4107996" cy="0"/>
          </a:xfrm>
          <a:prstGeom prst="line">
            <a:avLst/>
          </a:prstGeom>
          <a:ln w="3175">
            <a:solidFill>
              <a:schemeClr val="bg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10511090-4D82-4B6A-243C-095399A8FC41}"/>
              </a:ext>
            </a:extLst>
          </xdr:cNvPr>
          <xdr:cNvSpPr txBox="1"/>
        </xdr:nvSpPr>
        <xdr:spPr>
          <a:xfrm>
            <a:off x="2031999" y="28165651"/>
            <a:ext cx="1307592" cy="3760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19</a:t>
            </a:r>
          </a:p>
        </xdr:txBody>
      </xdr:sp>
    </xdr:grpSp>
    <xdr:clientData/>
  </xdr:twoCellAnchor>
  <xdr:twoCellAnchor>
    <xdr:from>
      <xdr:col>5</xdr:col>
      <xdr:colOff>72571</xdr:colOff>
      <xdr:row>46</xdr:row>
      <xdr:rowOff>39461</xdr:rowOff>
    </xdr:from>
    <xdr:to>
      <xdr:col>6</xdr:col>
      <xdr:colOff>2327031</xdr:colOff>
      <xdr:row>50</xdr:row>
      <xdr:rowOff>452385</xdr:rowOff>
    </xdr:to>
    <xdr:grpSp>
      <xdr:nvGrpSpPr>
        <xdr:cNvPr id="2888" name="Group 2887">
          <a:extLst>
            <a:ext uri="{FF2B5EF4-FFF2-40B4-BE49-F238E27FC236}">
              <a16:creationId xmlns:a16="http://schemas.microsoft.com/office/drawing/2014/main" id="{CD7A9BEB-4E0D-05DE-D039-2693C9A8742B}"/>
            </a:ext>
          </a:extLst>
        </xdr:cNvPr>
        <xdr:cNvGrpSpPr/>
      </xdr:nvGrpSpPr>
      <xdr:grpSpPr>
        <a:xfrm>
          <a:off x="6413500" y="26260425"/>
          <a:ext cx="4295531" cy="2562853"/>
          <a:chOff x="7037922" y="26258456"/>
          <a:chExt cx="4295532" cy="2556050"/>
        </a:xfrm>
      </xdr:grpSpPr>
      <xdr:grpSp>
        <xdr:nvGrpSpPr>
          <xdr:cNvPr id="2887" name="Group 2886">
            <a:extLst>
              <a:ext uri="{FF2B5EF4-FFF2-40B4-BE49-F238E27FC236}">
                <a16:creationId xmlns:a16="http://schemas.microsoft.com/office/drawing/2014/main" id="{BDF031E4-CE05-B4BD-CDD6-6E59B6A61386}"/>
              </a:ext>
            </a:extLst>
          </xdr:cNvPr>
          <xdr:cNvGrpSpPr/>
        </xdr:nvGrpSpPr>
        <xdr:grpSpPr>
          <a:xfrm>
            <a:off x="7037922" y="26258456"/>
            <a:ext cx="4295532" cy="2556050"/>
            <a:chOff x="6457351" y="26258456"/>
            <a:chExt cx="4295532" cy="2556050"/>
          </a:xfrm>
        </xdr:grpSpPr>
        <xdr:grpSp>
          <xdr:nvGrpSpPr>
            <xdr:cNvPr id="2886" name="Group 2885">
              <a:extLst>
                <a:ext uri="{FF2B5EF4-FFF2-40B4-BE49-F238E27FC236}">
                  <a16:creationId xmlns:a16="http://schemas.microsoft.com/office/drawing/2014/main" id="{59F3BA28-BAC7-AF5A-73CE-045E890DFC79}"/>
                </a:ext>
              </a:extLst>
            </xdr:cNvPr>
            <xdr:cNvGrpSpPr/>
          </xdr:nvGrpSpPr>
          <xdr:grpSpPr>
            <a:xfrm>
              <a:off x="6457351" y="26258456"/>
              <a:ext cx="4295532" cy="2556050"/>
              <a:chOff x="6457351" y="26258456"/>
              <a:chExt cx="4295532" cy="2556050"/>
            </a:xfrm>
          </xdr:grpSpPr>
          <xdr:grpSp>
            <xdr:nvGrpSpPr>
              <xdr:cNvPr id="2881" name="Group 2880">
                <a:extLst>
                  <a:ext uri="{FF2B5EF4-FFF2-40B4-BE49-F238E27FC236}">
                    <a16:creationId xmlns:a16="http://schemas.microsoft.com/office/drawing/2014/main" id="{0C4AFEAF-0A32-B0B3-8910-7D393DAEBE45}"/>
                  </a:ext>
                </a:extLst>
              </xdr:cNvPr>
              <xdr:cNvGrpSpPr/>
            </xdr:nvGrpSpPr>
            <xdr:grpSpPr>
              <a:xfrm>
                <a:off x="6457351" y="26258456"/>
                <a:ext cx="4295532" cy="2556050"/>
                <a:chOff x="6457351" y="26258456"/>
                <a:chExt cx="4295532" cy="2556050"/>
              </a:xfrm>
            </xdr:grpSpPr>
            <xdr:pic>
              <xdr:nvPicPr>
                <xdr:cNvPr id="2688" name="Picture 2687">
                  <a:extLst>
                    <a:ext uri="{FF2B5EF4-FFF2-40B4-BE49-F238E27FC236}">
                      <a16:creationId xmlns:a16="http://schemas.microsoft.com/office/drawing/2014/main" id="{D3014084-45B2-DD63-5D35-80179202A268}"/>
                    </a:ext>
                  </a:extLst>
                </xdr:cNvPr>
                <xdr:cNvPicPr>
                  <a:picLocks/>
                </xdr:cNvPicPr>
              </xdr:nvPicPr>
              <xdr:blipFill>
                <a:blip xmlns:r="http://schemas.openxmlformats.org/officeDocument/2006/relationships" r:embed="rId3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6457351" y="26258456"/>
                  <a:ext cx="4295532" cy="2556050"/>
                </a:xfrm>
                <a:prstGeom prst="rect">
                  <a:avLst/>
                </a:prstGeom>
              </xdr:spPr>
            </xdr:pic>
            <xdr:sp macro="" textlink="'Demographic Data'!A54">
              <xdr:nvSpPr>
                <xdr:cNvPr id="2100" name="Juror 20a">
                  <a:extLst>
                    <a:ext uri="{FF2B5EF4-FFF2-40B4-BE49-F238E27FC236}">
                      <a16:creationId xmlns:a16="http://schemas.microsoft.com/office/drawing/2014/main" id="{00000000-0008-0000-0100-000034080000}"/>
                    </a:ext>
                  </a:extLst>
                </xdr:cNvPr>
                <xdr:cNvSpPr/>
              </xdr:nvSpPr>
              <xdr:spPr>
                <a:xfrm>
                  <a:off x="8471581" y="26266184"/>
                  <a:ext cx="2205291" cy="252766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fld id="{325B4628-DFE0-4A26-A1E2-077F90B65DF7}" type="TxLink">
                    <a:rPr lang="en-US" sz="1400" b="0" i="0" u="none" strike="noStrike">
                      <a:solidFill>
                        <a:schemeClr val="bg1"/>
                      </a:solidFill>
                      <a:latin typeface="Raleway"/>
                    </a:rPr>
                    <a:pPr algn="l"/>
                    <a:t>#N/A</a:t>
                  </a:fld>
                  <a:endParaRPr lang="en-US" sz="1400">
                    <a:solidFill>
                      <a:schemeClr val="bg1"/>
                    </a:solidFill>
                  </a:endParaRPr>
                </a:p>
              </xdr:txBody>
            </xdr:sp>
          </xdr:grpSp>
          <xdr:sp macro="" textlink="'Demographic Data'!B54">
            <xdr:nvSpPr>
              <xdr:cNvPr id="2548" name="Juror 20b">
                <a:extLst>
                  <a:ext uri="{FF2B5EF4-FFF2-40B4-BE49-F238E27FC236}">
                    <a16:creationId xmlns:a16="http://schemas.microsoft.com/office/drawing/2014/main" id="{AE9D8480-104C-4A9A-A37E-41A59ABDDD8F}"/>
                  </a:ext>
                </a:extLst>
              </xdr:cNvPr>
              <xdr:cNvSpPr/>
            </xdr:nvSpPr>
            <xdr:spPr>
              <a:xfrm>
                <a:off x="6486070" y="28554594"/>
                <a:ext cx="4258281" cy="236490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fld id="{94DFB349-A7C6-4F57-B3BE-A340E7602D2B}" type="TxLink">
                  <a:rPr lang="en-US" sz="1200" b="0" i="0" u="none" strike="noStrike">
                    <a:solidFill>
                      <a:schemeClr val="bg1"/>
                    </a:solidFill>
                    <a:latin typeface="Raleway"/>
                  </a:rPr>
                  <a:pPr algn="ctr"/>
                  <a:t>0</a:t>
                </a:fld>
                <a:endParaRPr lang="en-US" sz="2000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4BB87FF7-C94A-9B26-5F86-316EFCD22C1C}"/>
                </a:ext>
              </a:extLst>
            </xdr:cNvPr>
            <xdr:cNvSpPr txBox="1"/>
          </xdr:nvSpPr>
          <xdr:spPr>
            <a:xfrm>
              <a:off x="6787695" y="28133901"/>
              <a:ext cx="1333500" cy="4372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en-US" sz="2400">
                  <a:solidFill>
                    <a:schemeClr val="bg1"/>
                  </a:solidFill>
                  <a:latin typeface="Raleway" pitchFamily="2" charset="0"/>
                </a:rPr>
                <a:t>Juror 20</a:t>
              </a:r>
            </a:p>
          </xdr:txBody>
        </xdr:sp>
      </xdr:grp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CCC6E962-D241-707A-CD12-99DE8C2493E9}"/>
              </a:ext>
            </a:extLst>
          </xdr:cNvPr>
          <xdr:cNvCxnSpPr/>
        </xdr:nvCxnSpPr>
        <xdr:spPr>
          <a:xfrm>
            <a:off x="7140346" y="28551193"/>
            <a:ext cx="4115935" cy="0"/>
          </a:xfrm>
          <a:prstGeom prst="line">
            <a:avLst/>
          </a:prstGeom>
          <a:ln w="3175">
            <a:solidFill>
              <a:schemeClr val="bg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64972</xdr:colOff>
      <xdr:row>51</xdr:row>
      <xdr:rowOff>39279</xdr:rowOff>
    </xdr:from>
    <xdr:to>
      <xdr:col>3</xdr:col>
      <xdr:colOff>2170103</xdr:colOff>
      <xdr:row>55</xdr:row>
      <xdr:rowOff>458542</xdr:rowOff>
    </xdr:to>
    <xdr:grpSp>
      <xdr:nvGrpSpPr>
        <xdr:cNvPr id="2890" name="Group 2889">
          <a:extLst>
            <a:ext uri="{FF2B5EF4-FFF2-40B4-BE49-F238E27FC236}">
              <a16:creationId xmlns:a16="http://schemas.microsoft.com/office/drawing/2014/main" id="{CAD71578-DB96-D744-7D00-062274A5248A}"/>
            </a:ext>
          </a:extLst>
        </xdr:cNvPr>
        <xdr:cNvGrpSpPr/>
      </xdr:nvGrpSpPr>
      <xdr:grpSpPr>
        <a:xfrm>
          <a:off x="1493722" y="29015690"/>
          <a:ext cx="4295881" cy="2569192"/>
          <a:chOff x="1680106" y="29016453"/>
          <a:chExt cx="4300416" cy="2560121"/>
        </a:xfrm>
      </xdr:grpSpPr>
      <xdr:pic>
        <xdr:nvPicPr>
          <xdr:cNvPr id="2685" name="Picture 2684">
            <a:extLst>
              <a:ext uri="{FF2B5EF4-FFF2-40B4-BE49-F238E27FC236}">
                <a16:creationId xmlns:a16="http://schemas.microsoft.com/office/drawing/2014/main" id="{6F5DCDF2-17CC-3048-4A0C-F84FE97B1C2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4990" y="29016453"/>
            <a:ext cx="4295532" cy="2560121"/>
          </a:xfrm>
          <a:prstGeom prst="rect">
            <a:avLst/>
          </a:prstGeom>
        </xdr:spPr>
      </xdr:pic>
      <xdr:sp macro="" textlink="'Demographic Data'!A55">
        <xdr:nvSpPr>
          <xdr:cNvPr id="2101" name="Juror 21a">
            <a:extLst>
              <a:ext uri="{FF2B5EF4-FFF2-40B4-BE49-F238E27FC236}">
                <a16:creationId xmlns:a16="http://schemas.microsoft.com/office/drawing/2014/main" id="{00000000-0008-0000-0100-000035080000}"/>
              </a:ext>
            </a:extLst>
          </xdr:cNvPr>
          <xdr:cNvSpPr/>
        </xdr:nvSpPr>
        <xdr:spPr>
          <a:xfrm>
            <a:off x="3680959" y="29024372"/>
            <a:ext cx="2231485" cy="252764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6F88EEC5-E8D9-4A08-AAFC-B9507EA02F4A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55">
        <xdr:nvSpPr>
          <xdr:cNvPr id="2549" name="Juror 21b">
            <a:extLst>
              <a:ext uri="{FF2B5EF4-FFF2-40B4-BE49-F238E27FC236}">
                <a16:creationId xmlns:a16="http://schemas.microsoft.com/office/drawing/2014/main" id="{267990E4-35D8-4F35-9AAC-B62ECE2AB132}"/>
              </a:ext>
            </a:extLst>
          </xdr:cNvPr>
          <xdr:cNvSpPr/>
        </xdr:nvSpPr>
        <xdr:spPr>
          <a:xfrm>
            <a:off x="1680106" y="31304368"/>
            <a:ext cx="4290028" cy="2122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796F6E5E-3600-440F-8965-556E6143850F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6F89B84C-E9B2-9AF9-44DB-D85129A6A199}"/>
              </a:ext>
            </a:extLst>
          </xdr:cNvPr>
          <xdr:cNvCxnSpPr/>
        </xdr:nvCxnSpPr>
        <xdr:spPr>
          <a:xfrm>
            <a:off x="1777999" y="31312303"/>
            <a:ext cx="4107996" cy="0"/>
          </a:xfrm>
          <a:prstGeom prst="line">
            <a:avLst/>
          </a:prstGeom>
          <a:ln w="3175">
            <a:solidFill>
              <a:schemeClr val="bg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AADE5743-716A-452F-09E8-61F2673CA3AC}"/>
              </a:ext>
            </a:extLst>
          </xdr:cNvPr>
          <xdr:cNvSpPr txBox="1"/>
        </xdr:nvSpPr>
        <xdr:spPr>
          <a:xfrm>
            <a:off x="2024061" y="30938107"/>
            <a:ext cx="1335024" cy="3760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21</a:t>
            </a:r>
          </a:p>
        </xdr:txBody>
      </xdr:sp>
    </xdr:grpSp>
    <xdr:clientData/>
  </xdr:twoCellAnchor>
  <xdr:twoCellAnchor>
    <xdr:from>
      <xdr:col>5</xdr:col>
      <xdr:colOff>72570</xdr:colOff>
      <xdr:row>51</xdr:row>
      <xdr:rowOff>39280</xdr:rowOff>
    </xdr:from>
    <xdr:to>
      <xdr:col>6</xdr:col>
      <xdr:colOff>2327030</xdr:colOff>
      <xdr:row>55</xdr:row>
      <xdr:rowOff>458543</xdr:rowOff>
    </xdr:to>
    <xdr:grpSp>
      <xdr:nvGrpSpPr>
        <xdr:cNvPr id="2892" name="Group 2891">
          <a:extLst>
            <a:ext uri="{FF2B5EF4-FFF2-40B4-BE49-F238E27FC236}">
              <a16:creationId xmlns:a16="http://schemas.microsoft.com/office/drawing/2014/main" id="{61754A30-57A2-C053-CFCD-A467DA555F95}"/>
            </a:ext>
          </a:extLst>
        </xdr:cNvPr>
        <xdr:cNvGrpSpPr/>
      </xdr:nvGrpSpPr>
      <xdr:grpSpPr>
        <a:xfrm>
          <a:off x="6413499" y="29015691"/>
          <a:ext cx="4295531" cy="2569192"/>
          <a:chOff x="6457349" y="29016453"/>
          <a:chExt cx="4295532" cy="2560121"/>
        </a:xfrm>
      </xdr:grpSpPr>
      <xdr:pic>
        <xdr:nvPicPr>
          <xdr:cNvPr id="2684" name="Picture 2683">
            <a:extLst>
              <a:ext uri="{FF2B5EF4-FFF2-40B4-BE49-F238E27FC236}">
                <a16:creationId xmlns:a16="http://schemas.microsoft.com/office/drawing/2014/main" id="{7DC1B7F4-D763-A247-9FEE-A873688E336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57349" y="29016453"/>
            <a:ext cx="4295532" cy="2560121"/>
          </a:xfrm>
          <a:prstGeom prst="rect">
            <a:avLst/>
          </a:prstGeom>
        </xdr:spPr>
      </xdr:pic>
      <xdr:sp macro="" textlink="'Demographic Data'!A56">
        <xdr:nvSpPr>
          <xdr:cNvPr id="2102" name="Juror 22a">
            <a:extLst>
              <a:ext uri="{FF2B5EF4-FFF2-40B4-BE49-F238E27FC236}">
                <a16:creationId xmlns:a16="http://schemas.microsoft.com/office/drawing/2014/main" id="{00000000-0008-0000-0100-000036080000}"/>
              </a:ext>
            </a:extLst>
          </xdr:cNvPr>
          <xdr:cNvSpPr/>
        </xdr:nvSpPr>
        <xdr:spPr>
          <a:xfrm>
            <a:off x="8466818" y="29024884"/>
            <a:ext cx="2214817" cy="25414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48075033-499D-4E7A-8895-3AAB12684107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sp macro="" textlink="'Demographic Data'!B56">
        <xdr:nvSpPr>
          <xdr:cNvPr id="2550" name="Juror 22b">
            <a:extLst>
              <a:ext uri="{FF2B5EF4-FFF2-40B4-BE49-F238E27FC236}">
                <a16:creationId xmlns:a16="http://schemas.microsoft.com/office/drawing/2014/main" id="{D74A1AF9-27C2-4D28-9F04-34E3E973E573}"/>
              </a:ext>
            </a:extLst>
          </xdr:cNvPr>
          <xdr:cNvSpPr/>
        </xdr:nvSpPr>
        <xdr:spPr>
          <a:xfrm>
            <a:off x="6470195" y="31305503"/>
            <a:ext cx="4258281" cy="2493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6B014275-2DCD-4CDC-AEC1-4A3893C24702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DC3A4B18-768E-2A5F-2DAB-E948B326F80A}"/>
              </a:ext>
            </a:extLst>
          </xdr:cNvPr>
          <xdr:cNvCxnSpPr/>
        </xdr:nvCxnSpPr>
        <xdr:spPr>
          <a:xfrm>
            <a:off x="6557508" y="31298696"/>
            <a:ext cx="4115935" cy="0"/>
          </a:xfrm>
          <a:prstGeom prst="line">
            <a:avLst/>
          </a:prstGeom>
          <a:ln w="3175">
            <a:solidFill>
              <a:schemeClr val="bg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93" name="TextBox 2692">
            <a:extLst>
              <a:ext uri="{FF2B5EF4-FFF2-40B4-BE49-F238E27FC236}">
                <a16:creationId xmlns:a16="http://schemas.microsoft.com/office/drawing/2014/main" id="{97464590-3F51-4D9F-F3D3-AA7E58F36F47}"/>
              </a:ext>
            </a:extLst>
          </xdr:cNvPr>
          <xdr:cNvSpPr txBox="1"/>
        </xdr:nvSpPr>
        <xdr:spPr>
          <a:xfrm>
            <a:off x="6763883" y="30917698"/>
            <a:ext cx="1335024" cy="4372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</a:t>
            </a:r>
            <a:r>
              <a:rPr lang="en-US" sz="2400" baseline="0">
                <a:solidFill>
                  <a:schemeClr val="bg1"/>
                </a:solidFill>
                <a:latin typeface="Raleway" pitchFamily="2" charset="0"/>
              </a:rPr>
              <a:t> 22</a:t>
            </a:r>
            <a:endParaRPr lang="en-US" sz="2400">
              <a:solidFill>
                <a:schemeClr val="bg1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2</xdr:col>
      <xdr:colOff>1901829</xdr:colOff>
      <xdr:row>57</xdr:row>
      <xdr:rowOff>49969</xdr:rowOff>
    </xdr:from>
    <xdr:to>
      <xdr:col>3</xdr:col>
      <xdr:colOff>2092243</xdr:colOff>
      <xdr:row>60</xdr:row>
      <xdr:rowOff>484147</xdr:rowOff>
    </xdr:to>
    <xdr:sp macro="" textlink="'Demographic Data'!A57">
      <xdr:nvSpPr>
        <xdr:cNvPr id="2103" name="Juror 23a">
          <a:extLst>
            <a:ext uri="{FF2B5EF4-FFF2-40B4-BE49-F238E27FC236}">
              <a16:creationId xmlns:a16="http://schemas.microsoft.com/office/drawing/2014/main" id="{00000000-0008-0000-0100-000037080000}"/>
            </a:ext>
          </a:extLst>
        </xdr:cNvPr>
        <xdr:cNvSpPr/>
      </xdr:nvSpPr>
      <xdr:spPr>
        <a:xfrm>
          <a:off x="3480258" y="31836255"/>
          <a:ext cx="2231485" cy="25296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877EB464-9621-4EEA-956C-A8E5209079CB}" type="TxLink">
            <a:rPr lang="en-US" sz="1400" b="0" i="0" u="none" strike="noStrike">
              <a:solidFill>
                <a:schemeClr val="bg1"/>
              </a:solidFill>
              <a:latin typeface="Raleway"/>
            </a:rPr>
            <a:pPr algn="l"/>
            <a:t>#N/A</a:t>
          </a:fld>
          <a:endParaRPr lang="en-US" sz="1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100875</xdr:colOff>
      <xdr:row>60</xdr:row>
      <xdr:rowOff>168717</xdr:rowOff>
    </xdr:from>
    <xdr:to>
      <xdr:col>3</xdr:col>
      <xdr:colOff>2158577</xdr:colOff>
      <xdr:row>60</xdr:row>
      <xdr:rowOff>441040</xdr:rowOff>
    </xdr:to>
    <xdr:sp macro="" textlink="'Demographic Data'!B57">
      <xdr:nvSpPr>
        <xdr:cNvPr id="2551" name="Juror 23b">
          <a:extLst>
            <a:ext uri="{FF2B5EF4-FFF2-40B4-BE49-F238E27FC236}">
              <a16:creationId xmlns:a16="http://schemas.microsoft.com/office/drawing/2014/main" id="{AE944BA5-8CCC-4197-B6D3-0BD8CF4E9301}"/>
            </a:ext>
          </a:extLst>
        </xdr:cNvPr>
        <xdr:cNvSpPr/>
      </xdr:nvSpPr>
      <xdr:spPr>
        <a:xfrm>
          <a:off x="1529625" y="34050503"/>
          <a:ext cx="4248452" cy="27232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E4146E9B-E798-4021-8CDD-F75E2421922E}" type="TxLink">
            <a:rPr lang="en-US" sz="1200" b="0" i="0" u="none" strike="noStrike">
              <a:solidFill>
                <a:schemeClr val="bg1"/>
              </a:solidFill>
              <a:latin typeface="Raleway"/>
            </a:rPr>
            <a:pPr algn="ctr"/>
            <a:t>0</a:t>
          </a:fld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258109</xdr:colOff>
      <xdr:row>59</xdr:row>
      <xdr:rowOff>426276</xdr:rowOff>
    </xdr:from>
    <xdr:to>
      <xdr:col>2</xdr:col>
      <xdr:colOff>1593133</xdr:colOff>
      <xdr:row>60</xdr:row>
      <xdr:rowOff>158242</xdr:rowOff>
    </xdr:to>
    <xdr:sp macro="" textlink="">
      <xdr:nvSpPr>
        <xdr:cNvPr id="2698" name="TextBox 2697">
          <a:extLst>
            <a:ext uri="{FF2B5EF4-FFF2-40B4-BE49-F238E27FC236}">
              <a16:creationId xmlns:a16="http://schemas.microsoft.com/office/drawing/2014/main" id="{ADCD9F59-943C-C40B-3CFE-25929E3BD434}"/>
            </a:ext>
          </a:extLst>
        </xdr:cNvPr>
        <xdr:cNvSpPr txBox="1"/>
      </xdr:nvSpPr>
      <xdr:spPr>
        <a:xfrm>
          <a:off x="1836538" y="33661723"/>
          <a:ext cx="1335024" cy="3783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Raleway" pitchFamily="2" charset="0"/>
            </a:rPr>
            <a:t>Juror 23</a:t>
          </a:r>
        </a:p>
      </xdr:txBody>
    </xdr:sp>
    <xdr:clientData/>
  </xdr:twoCellAnchor>
  <xdr:twoCellAnchor>
    <xdr:from>
      <xdr:col>5</xdr:col>
      <xdr:colOff>111624</xdr:colOff>
      <xdr:row>60</xdr:row>
      <xdr:rowOff>148048</xdr:rowOff>
    </xdr:from>
    <xdr:to>
      <xdr:col>6</xdr:col>
      <xdr:colOff>2186487</xdr:colOff>
      <xdr:row>60</xdr:row>
      <xdr:rowOff>148048</xdr:rowOff>
    </xdr:to>
    <xdr:cxnSp macro="">
      <xdr:nvCxnSpPr>
        <xdr:cNvPr id="2697" name="Straight Connector 2696">
          <a:extLst>
            <a:ext uri="{FF2B5EF4-FFF2-40B4-BE49-F238E27FC236}">
              <a16:creationId xmlns:a16="http://schemas.microsoft.com/office/drawing/2014/main" id="{1E71E365-1CB6-EFE6-FD5A-B7A2EF0056BB}"/>
            </a:ext>
          </a:extLst>
        </xdr:cNvPr>
        <xdr:cNvCxnSpPr/>
      </xdr:nvCxnSpPr>
      <xdr:spPr>
        <a:xfrm>
          <a:off x="6452553" y="34029834"/>
          <a:ext cx="4115934" cy="0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72698</xdr:colOff>
      <xdr:row>56</xdr:row>
      <xdr:rowOff>2257</xdr:rowOff>
    </xdr:from>
    <xdr:to>
      <xdr:col>6</xdr:col>
      <xdr:colOff>2139622</xdr:colOff>
      <xdr:row>56</xdr:row>
      <xdr:rowOff>2257</xdr:rowOff>
    </xdr:to>
    <xdr:cxnSp macro="">
      <xdr:nvCxnSpPr>
        <xdr:cNvPr id="2902" name="Straight Connector 2901">
          <a:extLst>
            <a:ext uri="{FF2B5EF4-FFF2-40B4-BE49-F238E27FC236}">
              <a16:creationId xmlns:a16="http://schemas.microsoft.com/office/drawing/2014/main" id="{2B26A3FC-ACA3-40EC-8D56-62FB754888D6}"/>
            </a:ext>
          </a:extLst>
        </xdr:cNvPr>
        <xdr:cNvCxnSpPr/>
      </xdr:nvCxnSpPr>
      <xdr:spPr>
        <a:xfrm>
          <a:off x="6413627" y="31734114"/>
          <a:ext cx="4107995" cy="0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35861</xdr:colOff>
      <xdr:row>60</xdr:row>
      <xdr:rowOff>163407</xdr:rowOff>
    </xdr:from>
    <xdr:to>
      <xdr:col>3</xdr:col>
      <xdr:colOff>2098251</xdr:colOff>
      <xdr:row>60</xdr:row>
      <xdr:rowOff>163407</xdr:rowOff>
    </xdr:to>
    <xdr:cxnSp macro="">
      <xdr:nvCxnSpPr>
        <xdr:cNvPr id="2903" name="Straight Connector 2902">
          <a:extLst>
            <a:ext uri="{FF2B5EF4-FFF2-40B4-BE49-F238E27FC236}">
              <a16:creationId xmlns:a16="http://schemas.microsoft.com/office/drawing/2014/main" id="{21015728-B774-412B-A965-B58C1577B0C0}"/>
            </a:ext>
          </a:extLst>
        </xdr:cNvPr>
        <xdr:cNvCxnSpPr/>
      </xdr:nvCxnSpPr>
      <xdr:spPr>
        <a:xfrm>
          <a:off x="1614290" y="34045193"/>
          <a:ext cx="4103461" cy="0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56688</xdr:colOff>
      <xdr:row>56</xdr:row>
      <xdr:rowOff>16269</xdr:rowOff>
    </xdr:from>
    <xdr:to>
      <xdr:col>6</xdr:col>
      <xdr:colOff>2327030</xdr:colOff>
      <xdr:row>60</xdr:row>
      <xdr:rowOff>456034</xdr:rowOff>
    </xdr:to>
    <xdr:grpSp>
      <xdr:nvGrpSpPr>
        <xdr:cNvPr id="2905" name="Group 2904">
          <a:extLst>
            <a:ext uri="{FF2B5EF4-FFF2-40B4-BE49-F238E27FC236}">
              <a16:creationId xmlns:a16="http://schemas.microsoft.com/office/drawing/2014/main" id="{A522C247-F9EE-6E3A-6D6C-B6DF5395E24A}"/>
            </a:ext>
          </a:extLst>
        </xdr:cNvPr>
        <xdr:cNvGrpSpPr/>
      </xdr:nvGrpSpPr>
      <xdr:grpSpPr>
        <a:xfrm>
          <a:off x="6397617" y="31748126"/>
          <a:ext cx="4311413" cy="2589694"/>
          <a:chOff x="6368897" y="31579175"/>
          <a:chExt cx="4311414" cy="2582890"/>
        </a:xfrm>
      </xdr:grpSpPr>
      <xdr:pic>
        <xdr:nvPicPr>
          <xdr:cNvPr id="2682" name="Picture 2681">
            <a:extLst>
              <a:ext uri="{FF2B5EF4-FFF2-40B4-BE49-F238E27FC236}">
                <a16:creationId xmlns:a16="http://schemas.microsoft.com/office/drawing/2014/main" id="{6EC6A882-C099-2F4F-8D85-455D46626249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84779" y="31601943"/>
            <a:ext cx="4295532" cy="2560122"/>
          </a:xfrm>
          <a:prstGeom prst="rect">
            <a:avLst/>
          </a:prstGeom>
        </xdr:spPr>
      </xdr:pic>
      <xdr:sp macro="" textlink="'Demographic Data'!B58">
        <xdr:nvSpPr>
          <xdr:cNvPr id="2552" name="Juror 24b">
            <a:extLst>
              <a:ext uri="{FF2B5EF4-FFF2-40B4-BE49-F238E27FC236}">
                <a16:creationId xmlns:a16="http://schemas.microsoft.com/office/drawing/2014/main" id="{7B7BDD82-4183-4071-BA09-22258B8697CF}"/>
              </a:ext>
            </a:extLst>
          </xdr:cNvPr>
          <xdr:cNvSpPr/>
        </xdr:nvSpPr>
        <xdr:spPr>
          <a:xfrm>
            <a:off x="6368897" y="33878766"/>
            <a:ext cx="4258281" cy="24057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0F92D5BA-8B4F-4C67-8501-FDC5EBDF4B39}" type="TxLink">
              <a:rPr lang="en-US" sz="11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000">
              <a:solidFill>
                <a:schemeClr val="bg1"/>
              </a:solidFill>
            </a:endParaRPr>
          </a:p>
        </xdr:txBody>
      </xdr:sp>
      <xdr:sp macro="" textlink="">
        <xdr:nvSpPr>
          <xdr:cNvPr id="2699" name="TextBox 2698">
            <a:extLst>
              <a:ext uri="{FF2B5EF4-FFF2-40B4-BE49-F238E27FC236}">
                <a16:creationId xmlns:a16="http://schemas.microsoft.com/office/drawing/2014/main" id="{54989F4B-2857-C45D-B590-765AF540B883}"/>
              </a:ext>
            </a:extLst>
          </xdr:cNvPr>
          <xdr:cNvSpPr txBox="1"/>
        </xdr:nvSpPr>
        <xdr:spPr>
          <a:xfrm>
            <a:off x="6634614" y="33471300"/>
            <a:ext cx="1309688" cy="4372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24</a:t>
            </a:r>
          </a:p>
        </xdr:txBody>
      </xdr:sp>
      <xdr:sp macro="" textlink="'Demographic Data'!A58">
        <xdr:nvSpPr>
          <xdr:cNvPr id="2104" name="Juror 24a">
            <a:extLst>
              <a:ext uri="{FF2B5EF4-FFF2-40B4-BE49-F238E27FC236}">
                <a16:creationId xmlns:a16="http://schemas.microsoft.com/office/drawing/2014/main" id="{00000000-0008-0000-0100-000038080000}"/>
              </a:ext>
            </a:extLst>
          </xdr:cNvPr>
          <xdr:cNvSpPr/>
        </xdr:nvSpPr>
        <xdr:spPr>
          <a:xfrm>
            <a:off x="8258174" y="31579175"/>
            <a:ext cx="2214817" cy="25257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4042C99E-7C10-4955-A94D-FA93B8947ABF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400">
              <a:solidFill>
                <a:schemeClr val="bg1"/>
              </a:solidFill>
            </a:endParaRPr>
          </a:p>
        </xdr:txBody>
      </xdr:sp>
      <xdr:cxnSp macro="">
        <xdr:nvCxnSpPr>
          <xdr:cNvPr id="2695" name="Straight Connector 2694">
            <a:extLst>
              <a:ext uri="{FF2B5EF4-FFF2-40B4-BE49-F238E27FC236}">
                <a16:creationId xmlns:a16="http://schemas.microsoft.com/office/drawing/2014/main" id="{2027DE0F-FE10-04E7-68CE-7FA33939D727}"/>
              </a:ext>
            </a:extLst>
          </xdr:cNvPr>
          <xdr:cNvCxnSpPr/>
        </xdr:nvCxnSpPr>
        <xdr:spPr>
          <a:xfrm>
            <a:off x="6467929" y="33901062"/>
            <a:ext cx="4107996" cy="0"/>
          </a:xfrm>
          <a:prstGeom prst="line">
            <a:avLst/>
          </a:prstGeom>
          <a:ln w="3175">
            <a:solidFill>
              <a:schemeClr val="bg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69850</xdr:colOff>
      <xdr:row>61</xdr:row>
      <xdr:rowOff>38916</xdr:rowOff>
    </xdr:from>
    <xdr:to>
      <xdr:col>3</xdr:col>
      <xdr:colOff>2184279</xdr:colOff>
      <xdr:row>65</xdr:row>
      <xdr:rowOff>488899</xdr:rowOff>
    </xdr:to>
    <xdr:grpSp>
      <xdr:nvGrpSpPr>
        <xdr:cNvPr id="2907" name="Group 2906">
          <a:extLst>
            <a:ext uri="{FF2B5EF4-FFF2-40B4-BE49-F238E27FC236}">
              <a16:creationId xmlns:a16="http://schemas.microsoft.com/office/drawing/2014/main" id="{A7FDA377-76AC-4E24-3DB9-C5D92206B672}"/>
            </a:ext>
          </a:extLst>
        </xdr:cNvPr>
        <xdr:cNvGrpSpPr/>
      </xdr:nvGrpSpPr>
      <xdr:grpSpPr>
        <a:xfrm>
          <a:off x="1498600" y="34526220"/>
          <a:ext cx="4305179" cy="2599912"/>
          <a:chOff x="1678184" y="34463911"/>
          <a:chExt cx="4305179" cy="2590840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98538338-1695-40A5-9F9E-DE2604167F7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8184" y="34463911"/>
            <a:ext cx="4295533" cy="2559613"/>
          </a:xfrm>
          <a:prstGeom prst="rect">
            <a:avLst/>
          </a:prstGeom>
        </xdr:spPr>
      </xdr:pic>
      <xdr:sp macro="" textlink="'Demographic Data'!B59">
        <xdr:nvSpPr>
          <xdr:cNvPr id="2740" name="Juror 23b">
            <a:extLst>
              <a:ext uri="{FF2B5EF4-FFF2-40B4-BE49-F238E27FC236}">
                <a16:creationId xmlns:a16="http://schemas.microsoft.com/office/drawing/2014/main" id="{FDA08693-9F78-476D-9A5A-27628502ED16}"/>
              </a:ext>
            </a:extLst>
          </xdr:cNvPr>
          <xdr:cNvSpPr/>
        </xdr:nvSpPr>
        <xdr:spPr>
          <a:xfrm>
            <a:off x="1709209" y="36735506"/>
            <a:ext cx="4274154" cy="2273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7F09F142-7E87-4736-B438-79D5C457FC3A}" type="TxLink">
              <a:rPr lang="en-US" sz="11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2800">
              <a:solidFill>
                <a:schemeClr val="bg1"/>
              </a:solidFill>
            </a:endParaRPr>
          </a:p>
        </xdr:txBody>
      </xdr:sp>
      <xdr:cxnSp macro="">
        <xdr:nvCxnSpPr>
          <xdr:cNvPr id="2701" name="Straight Connector 2700">
            <a:extLst>
              <a:ext uri="{FF2B5EF4-FFF2-40B4-BE49-F238E27FC236}">
                <a16:creationId xmlns:a16="http://schemas.microsoft.com/office/drawing/2014/main" id="{9B492E32-8E48-5B34-FCF5-8864CA8F8D87}"/>
              </a:ext>
            </a:extLst>
          </xdr:cNvPr>
          <xdr:cNvCxnSpPr/>
        </xdr:nvCxnSpPr>
        <xdr:spPr>
          <a:xfrm>
            <a:off x="1793874" y="36730214"/>
            <a:ext cx="4107996" cy="0"/>
          </a:xfrm>
          <a:prstGeom prst="line">
            <a:avLst/>
          </a:prstGeom>
          <a:ln w="3175">
            <a:solidFill>
              <a:schemeClr val="bg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04" name="TextBox 2703">
            <a:extLst>
              <a:ext uri="{FF2B5EF4-FFF2-40B4-BE49-F238E27FC236}">
                <a16:creationId xmlns:a16="http://schemas.microsoft.com/office/drawing/2014/main" id="{17DD478C-FB3E-323F-3AAF-A475F87677BB}"/>
              </a:ext>
            </a:extLst>
          </xdr:cNvPr>
          <xdr:cNvSpPr txBox="1"/>
        </xdr:nvSpPr>
        <xdr:spPr>
          <a:xfrm>
            <a:off x="2016123" y="36348081"/>
            <a:ext cx="1333501" cy="376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25</a:t>
            </a:r>
          </a:p>
        </xdr:txBody>
      </xdr:sp>
      <xdr:sp macro="" textlink="'Demographic Data'!A59">
        <xdr:nvSpPr>
          <xdr:cNvPr id="44" name="Juror 25a">
            <a:extLst>
              <a:ext uri="{FF2B5EF4-FFF2-40B4-BE49-F238E27FC236}">
                <a16:creationId xmlns:a16="http://schemas.microsoft.com/office/drawing/2014/main" id="{62395DD9-F716-4E10-9807-72A3CE79B2DB}"/>
              </a:ext>
            </a:extLst>
          </xdr:cNvPr>
          <xdr:cNvSpPr/>
        </xdr:nvSpPr>
        <xdr:spPr>
          <a:xfrm>
            <a:off x="3659843" y="34528984"/>
            <a:ext cx="2214817" cy="25257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AA53975D-BA51-4395-9631-A8199C0237BB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18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5</xdr:col>
      <xdr:colOff>72570</xdr:colOff>
      <xdr:row>61</xdr:row>
      <xdr:rowOff>38916</xdr:rowOff>
    </xdr:from>
    <xdr:to>
      <xdr:col>6</xdr:col>
      <xdr:colOff>2327031</xdr:colOff>
      <xdr:row>65</xdr:row>
      <xdr:rowOff>455404</xdr:rowOff>
    </xdr:to>
    <xdr:grpSp>
      <xdr:nvGrpSpPr>
        <xdr:cNvPr id="2909" name="Group 2908">
          <a:extLst>
            <a:ext uri="{FF2B5EF4-FFF2-40B4-BE49-F238E27FC236}">
              <a16:creationId xmlns:a16="http://schemas.microsoft.com/office/drawing/2014/main" id="{53F65B21-D36A-A329-ABA9-846434DD68A9}"/>
            </a:ext>
          </a:extLst>
        </xdr:cNvPr>
        <xdr:cNvGrpSpPr/>
      </xdr:nvGrpSpPr>
      <xdr:grpSpPr>
        <a:xfrm>
          <a:off x="6413499" y="34526220"/>
          <a:ext cx="4295532" cy="2566417"/>
          <a:chOff x="6447847" y="34463911"/>
          <a:chExt cx="4295533" cy="2559613"/>
        </a:xfrm>
      </xdr:grpSpPr>
      <xdr:pic>
        <xdr:nvPicPr>
          <xdr:cNvPr id="20" name="Picture 19">
            <a:extLst>
              <a:ext uri="{FF2B5EF4-FFF2-40B4-BE49-F238E27FC236}">
                <a16:creationId xmlns:a16="http://schemas.microsoft.com/office/drawing/2014/main" id="{98107114-B5EC-466C-8ACB-B019CC67DF0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47847" y="34463911"/>
            <a:ext cx="4295533" cy="2559613"/>
          </a:xfrm>
          <a:prstGeom prst="rect">
            <a:avLst/>
          </a:prstGeom>
        </xdr:spPr>
      </xdr:pic>
      <xdr:sp macro="" textlink="'Demographic Data'!B60">
        <xdr:nvSpPr>
          <xdr:cNvPr id="2899" name="Juror 23b">
            <a:extLst>
              <a:ext uri="{FF2B5EF4-FFF2-40B4-BE49-F238E27FC236}">
                <a16:creationId xmlns:a16="http://schemas.microsoft.com/office/drawing/2014/main" id="{D3DC7594-8E2F-4E81-8403-C162199A3F3A}"/>
              </a:ext>
            </a:extLst>
          </xdr:cNvPr>
          <xdr:cNvSpPr/>
        </xdr:nvSpPr>
        <xdr:spPr>
          <a:xfrm>
            <a:off x="6449028" y="36691667"/>
            <a:ext cx="4263573" cy="2643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F51A7F8-DE00-4006-B6B5-DFCAD0A60A5B}" type="TxLink">
              <a:rPr lang="en-US" sz="1200" b="0" i="0" u="none" strike="noStrike">
                <a:solidFill>
                  <a:schemeClr val="bg1"/>
                </a:solidFill>
                <a:latin typeface="Raleway"/>
              </a:rPr>
              <a:pPr algn="ctr"/>
              <a:t>0</a:t>
            </a:fld>
            <a:endParaRPr lang="en-US" sz="3600">
              <a:solidFill>
                <a:schemeClr val="bg1"/>
              </a:solidFill>
            </a:endParaRPr>
          </a:p>
        </xdr:txBody>
      </xdr:sp>
      <xdr:cxnSp macro="">
        <xdr:nvCxnSpPr>
          <xdr:cNvPr id="2703" name="Straight Connector 2702">
            <a:extLst>
              <a:ext uri="{FF2B5EF4-FFF2-40B4-BE49-F238E27FC236}">
                <a16:creationId xmlns:a16="http://schemas.microsoft.com/office/drawing/2014/main" id="{1ECBE492-9356-54F0-162E-9004E84B2CFF}"/>
              </a:ext>
            </a:extLst>
          </xdr:cNvPr>
          <xdr:cNvCxnSpPr/>
        </xdr:nvCxnSpPr>
        <xdr:spPr>
          <a:xfrm>
            <a:off x="6517820" y="36715470"/>
            <a:ext cx="4115935" cy="0"/>
          </a:xfrm>
          <a:prstGeom prst="line">
            <a:avLst/>
          </a:prstGeom>
          <a:ln w="3175">
            <a:solidFill>
              <a:schemeClr val="bg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05" name="TextBox 2704">
            <a:extLst>
              <a:ext uri="{FF2B5EF4-FFF2-40B4-BE49-F238E27FC236}">
                <a16:creationId xmlns:a16="http://schemas.microsoft.com/office/drawing/2014/main" id="{419465F8-9EB1-BCBB-4AF3-586339467AE3}"/>
              </a:ext>
            </a:extLst>
          </xdr:cNvPr>
          <xdr:cNvSpPr txBox="1"/>
        </xdr:nvSpPr>
        <xdr:spPr>
          <a:xfrm>
            <a:off x="6763883" y="36310668"/>
            <a:ext cx="1335024" cy="4372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400">
                <a:solidFill>
                  <a:schemeClr val="bg1"/>
                </a:solidFill>
                <a:latin typeface="Raleway" pitchFamily="2" charset="0"/>
              </a:rPr>
              <a:t>Juror 26</a:t>
            </a:r>
          </a:p>
        </xdr:txBody>
      </xdr:sp>
      <xdr:sp macro="" textlink="'Demographic Data'!A60">
        <xdr:nvSpPr>
          <xdr:cNvPr id="46" name="Juror 26a">
            <a:extLst>
              <a:ext uri="{FF2B5EF4-FFF2-40B4-BE49-F238E27FC236}">
                <a16:creationId xmlns:a16="http://schemas.microsoft.com/office/drawing/2014/main" id="{2F64F7A9-08EC-48C3-9E97-AF08B35222F1}"/>
              </a:ext>
            </a:extLst>
          </xdr:cNvPr>
          <xdr:cNvSpPr/>
        </xdr:nvSpPr>
        <xdr:spPr>
          <a:xfrm>
            <a:off x="8443004" y="34484078"/>
            <a:ext cx="2219580" cy="25257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A849D09D-1D00-4B15-B42D-4DB3791B060A}" type="TxLink">
              <a:rPr lang="en-US" sz="1400" b="0" i="0" u="none" strike="noStrike">
                <a:solidFill>
                  <a:schemeClr val="bg1"/>
                </a:solidFill>
                <a:latin typeface="Raleway"/>
              </a:rPr>
              <a:pPr algn="l"/>
              <a:t>#N/A</a:t>
            </a:fld>
            <a:endParaRPr lang="en-US" sz="24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100875</xdr:colOff>
      <xdr:row>70</xdr:row>
      <xdr:rowOff>168354</xdr:rowOff>
    </xdr:from>
    <xdr:to>
      <xdr:col>3</xdr:col>
      <xdr:colOff>2184163</xdr:colOff>
      <xdr:row>70</xdr:row>
      <xdr:rowOff>424796</xdr:rowOff>
    </xdr:to>
    <xdr:sp macro="" textlink="'Demographic Data'!B61">
      <xdr:nvSpPr>
        <xdr:cNvPr id="2750" name="Juror 27b">
          <a:extLst>
            <a:ext uri="{FF2B5EF4-FFF2-40B4-BE49-F238E27FC236}">
              <a16:creationId xmlns:a16="http://schemas.microsoft.com/office/drawing/2014/main" id="{EC342A60-CA30-4394-A854-305FEDAE952C}"/>
            </a:ext>
          </a:extLst>
        </xdr:cNvPr>
        <xdr:cNvSpPr/>
      </xdr:nvSpPr>
      <xdr:spPr>
        <a:xfrm>
          <a:off x="1529625" y="39561033"/>
          <a:ext cx="4274038" cy="256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0C27DCC9-48A8-4903-B0C9-0AE985AED248}" type="TxLink">
            <a:rPr lang="en-US" sz="1200" b="0" i="0" u="none" strike="noStrike">
              <a:solidFill>
                <a:schemeClr val="bg1"/>
              </a:solidFill>
              <a:latin typeface="Raleway"/>
            </a:rPr>
            <a:pPr algn="ctr"/>
            <a:t>0</a:t>
          </a:fld>
          <a:endParaRPr 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258109</xdr:colOff>
      <xdr:row>69</xdr:row>
      <xdr:rowOff>425913</xdr:rowOff>
    </xdr:from>
    <xdr:to>
      <xdr:col>2</xdr:col>
      <xdr:colOff>1593133</xdr:colOff>
      <xdr:row>70</xdr:row>
      <xdr:rowOff>157879</xdr:rowOff>
    </xdr:to>
    <xdr:sp macro="" textlink="">
      <xdr:nvSpPr>
        <xdr:cNvPr id="2708" name="TextBox 2707">
          <a:extLst>
            <a:ext uri="{FF2B5EF4-FFF2-40B4-BE49-F238E27FC236}">
              <a16:creationId xmlns:a16="http://schemas.microsoft.com/office/drawing/2014/main" id="{6469FA25-19EB-816B-7B66-B72FAE858232}"/>
            </a:ext>
          </a:extLst>
        </xdr:cNvPr>
        <xdr:cNvSpPr txBox="1"/>
      </xdr:nvSpPr>
      <xdr:spPr>
        <a:xfrm>
          <a:off x="1836538" y="39172253"/>
          <a:ext cx="1335024" cy="3783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Raleway" pitchFamily="2" charset="0"/>
            </a:rPr>
            <a:t>Juror 27</a:t>
          </a:r>
        </a:p>
      </xdr:txBody>
    </xdr:sp>
    <xdr:clientData/>
  </xdr:twoCellAnchor>
  <xdr:twoCellAnchor>
    <xdr:from>
      <xdr:col>2</xdr:col>
      <xdr:colOff>1901829</xdr:colOff>
      <xdr:row>67</xdr:row>
      <xdr:rowOff>49606</xdr:rowOff>
    </xdr:from>
    <xdr:to>
      <xdr:col>3</xdr:col>
      <xdr:colOff>2203908</xdr:colOff>
      <xdr:row>70</xdr:row>
      <xdr:rowOff>505219</xdr:rowOff>
    </xdr:to>
    <xdr:sp macro="" textlink="'Demographic Data'!A61">
      <xdr:nvSpPr>
        <xdr:cNvPr id="2718" name="Juror 27a">
          <a:extLst>
            <a:ext uri="{FF2B5EF4-FFF2-40B4-BE49-F238E27FC236}">
              <a16:creationId xmlns:a16="http://schemas.microsoft.com/office/drawing/2014/main" id="{3AEAE219-EB58-4470-8D97-0CC6C341D825}"/>
            </a:ext>
          </a:extLst>
        </xdr:cNvPr>
        <xdr:cNvSpPr/>
      </xdr:nvSpPr>
      <xdr:spPr>
        <a:xfrm>
          <a:off x="3480258" y="37346785"/>
          <a:ext cx="2343150" cy="25511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F37D646-2B37-4484-A56E-655D05353A7E}" type="TxLink">
            <a:rPr lang="en-US" sz="1400" b="0" i="0" u="none" strike="noStrike">
              <a:solidFill>
                <a:schemeClr val="bg1"/>
              </a:solidFill>
              <a:latin typeface="Raleway"/>
            </a:rPr>
            <a:pPr algn="l"/>
            <a:t>#N/A</a:t>
          </a:fld>
          <a:endParaRPr lang="en-US" sz="2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35861</xdr:colOff>
      <xdr:row>70</xdr:row>
      <xdr:rowOff>163044</xdr:rowOff>
    </xdr:from>
    <xdr:to>
      <xdr:col>3</xdr:col>
      <xdr:colOff>2102786</xdr:colOff>
      <xdr:row>70</xdr:row>
      <xdr:rowOff>163044</xdr:rowOff>
    </xdr:to>
    <xdr:cxnSp macro="">
      <xdr:nvCxnSpPr>
        <xdr:cNvPr id="2922" name="Straight Connector 2921">
          <a:extLst>
            <a:ext uri="{FF2B5EF4-FFF2-40B4-BE49-F238E27FC236}">
              <a16:creationId xmlns:a16="http://schemas.microsoft.com/office/drawing/2014/main" id="{FA74D1F1-C473-42D5-9AF4-CA235D058B53}"/>
            </a:ext>
          </a:extLst>
        </xdr:cNvPr>
        <xdr:cNvCxnSpPr/>
      </xdr:nvCxnSpPr>
      <xdr:spPr>
        <a:xfrm>
          <a:off x="1614290" y="39555723"/>
          <a:ext cx="4107996" cy="0"/>
        </a:xfrm>
        <a:prstGeom prst="line">
          <a:avLst/>
        </a:prstGeom>
        <a:noFill/>
        <a:ln w="3175" cap="flat" cmpd="sng" algn="ctr">
          <a:solidFill>
            <a:sysClr val="window" lastClr="FFFFFF"/>
          </a:solidFill>
          <a:prstDash val="solid"/>
          <a:miter lim="800000"/>
        </a:ln>
        <a:effectLst/>
      </xdr:spPr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F1FC30-4A2B-4013-BF3B-B7453E26483C}" name="Demographic4" displayName="Demographic4" ref="A1:X29" totalsRowShown="0" headerRowDxfId="14" dataDxfId="12" headerRowBorderDxfId="13" tableBorderDxfId="11">
  <autoFilter ref="A1:X29" xr:uid="{89F1FC30-4A2B-4013-BF3B-B7453E26483C}"/>
  <sortState xmlns:xlrd2="http://schemas.microsoft.com/office/spreadsheetml/2017/richdata2" ref="A2:W28">
    <sortCondition ref="B1:B28"/>
  </sortState>
  <tableColumns count="24">
    <tableColumn id="26" xr3:uid="{9B16D64E-26EA-4E19-B163-28556960B6AB}" name="Juror stem" dataDxfId="10"/>
    <tableColumn id="27" xr3:uid="{5C7FEB80-31A6-4C71-8B0D-DCFDAFE7EF53}" name="Juror "/>
    <tableColumn id="4" xr3:uid="{5E8FFA75-F6E1-4E9F-9152-F5F32F093ED1}" name="Name"/>
    <tableColumn id="12" xr3:uid="{D50F2031-04FE-433E-B1D5-6814AA285E82}" name="Gender"/>
    <tableColumn id="29" xr3:uid="{39A0F1BB-2963-4D69-8EBC-1C902A728523}" name="AGE"/>
    <tableColumn id="14" xr3:uid="{9EAB9D42-9884-4039-9F40-8356B080A1C5}" name="Ethnicity"/>
    <tableColumn id="31" xr3:uid="{80CFD6F4-AEB4-4317-8373-C35189AD3EA2}" name="Race"/>
    <tableColumn id="1" xr3:uid="{4FD9A377-94E9-4E64-8222-8ADA027692F0}" name="Education"/>
    <tableColumn id="15" xr3:uid="{12945433-6384-4C81-8319-0E9E15A13318}" name="Employment Status"/>
    <tableColumn id="17" xr3:uid="{B86B34F3-3916-4B00-96DF-2B7C39F0969D}" name="Job Title"/>
    <tableColumn id="6" xr3:uid="{6AF7AB42-4850-4EDC-A9B0-ADA5CF95B363}" name="Industry"/>
    <tableColumn id="7" xr3:uid="{54145760-BC29-481F-B0A2-A4A0A8A7478F}" name="Martial Statas"/>
    <tableColumn id="16" xr3:uid="{DC051F9E-0447-4C87-9041-2EFB0E8A50A5}" name="Living Situ"/>
    <tableColumn id="19" xr3:uid="{F8EE59A0-6BD0-46CF-88E5-62368BF52BF2}" name="Political Affiliation"/>
    <tableColumn id="8" xr3:uid="{82034AB1-6AF9-41B0-B711-E73A96347A93}" name="Political Leaning"/>
    <tableColumn id="9" xr3:uid="{7DE2D30D-5900-4EAC-A064-A1B58240EEB3}" name="Income"/>
    <tableColumn id="10" xr3:uid="{EF680C07-BB05-4420-80DA-A423232785AA}" name="Age Stem" dataDxfId="9"/>
    <tableColumn id="13" xr3:uid="{66C11904-218D-4419-BAED-F65B62823F32}" name="Age Range" dataDxfId="8">
      <calculatedColumnFormula>IF(AND(E2&gt;=18, E2&lt;=24), "18-24", IF(AND(E2&gt;=25, E2&lt;=44), "25-44", "45+"))</calculatedColumnFormula>
    </tableColumn>
    <tableColumn id="11" xr3:uid="{6663CAC3-F7FD-4497-8919-3465E60DEE6B}" name="Generation" dataDxfId="7">
      <calculatedColumnFormula>VLOOKUP(E2,GenTable33[],3,TRUE)</calculatedColumnFormula>
    </tableColumn>
    <tableColumn id="2" xr3:uid="{9DCA94F3-0D1C-4F79-87A0-56004A783069}" name="Hispanic Stem" dataDxfId="6"/>
    <tableColumn id="5" xr3:uid="{209585DB-FE14-4F03-AEB1-50F4DDFDE26A}" name="3 Words"/>
    <tableColumn id="18" xr3:uid="{79BF934F-D2E8-412F-8240-03E679C0CE88}" name="Apos"/>
    <tableColumn id="3" xr3:uid="{9F23C773-2130-41A0-9EA3-6E71C86F5A9D}" name="Dash"/>
    <tableColumn id="20" xr3:uid="{4B65EA3E-9533-4AAC-B443-DB7211325A00}" name="Quotes" dataDxfId="5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E2CCF6-9CF8-4E5B-8702-E2887E2390BB}" name="GenTable33" displayName="GenTable33" ref="K30:M35" totalsRowShown="0" headerRowDxfId="4" dataDxfId="3">
  <autoFilter ref="K30:M35" xr:uid="{F4E2CCF6-9CF8-4E5B-8702-E2887E2390BB}"/>
  <tableColumns count="3">
    <tableColumn id="1" xr3:uid="{8007E969-FA6B-4DF3-A08E-B6CFCC76FB6B}" name="Youngest" dataDxfId="2"/>
    <tableColumn id="2" xr3:uid="{64BEE60F-7471-44A9-94D1-9607A4B159AA}" name="Range" dataDxfId="1"/>
    <tableColumn id="3" xr3:uid="{8221D2AC-C915-48E1-9800-B12003542231}" name="Gener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69FCB03-D523-470A-BA98-25915DC3E661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811e0c1b-337d-417c-a683-1a580793286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F304-6472-49D1-B1CD-42F0C5242CA0}">
  <sheetPr codeName="Sheet1"/>
  <dimension ref="A1:X66"/>
  <sheetViews>
    <sheetView zoomScale="80" zoomScaleNormal="80" workbookViewId="0">
      <pane xSplit="3" ySplit="1" topLeftCell="L2" activePane="bottomRight" state="frozen"/>
      <selection pane="topRight" activeCell="D1" sqref="D1"/>
      <selection pane="bottomLeft" activeCell="A2" sqref="A2"/>
      <selection pane="bottomRight" activeCell="L18" sqref="L18"/>
    </sheetView>
  </sheetViews>
  <sheetFormatPr defaultColWidth="6.1484375" defaultRowHeight="16.899999999999999" x14ac:dyDescent="0.6"/>
  <cols>
    <col min="1" max="1" width="10" style="8" bestFit="1" customWidth="1"/>
    <col min="2" max="2" width="8.3984375" style="8" customWidth="1"/>
    <col min="3" max="3" width="24.59765625" style="8" customWidth="1"/>
    <col min="4" max="4" width="13" style="8" customWidth="1"/>
    <col min="5" max="5" width="6.1484375" style="8"/>
    <col min="6" max="6" width="8.1484375" style="8" customWidth="1"/>
    <col min="7" max="7" width="14" style="8" customWidth="1"/>
    <col min="8" max="8" width="22.59765625" style="8" customWidth="1"/>
    <col min="9" max="9" width="16.84765625" style="8" bestFit="1" customWidth="1"/>
    <col min="10" max="10" width="21.1484375" style="8" customWidth="1"/>
    <col min="11" max="11" width="23.3984375" style="8" customWidth="1"/>
    <col min="12" max="12" width="11.84765625" style="8" customWidth="1"/>
    <col min="13" max="13" width="14.3984375" style="8" bestFit="1" customWidth="1"/>
    <col min="14" max="17" width="11.59765625" style="8" customWidth="1"/>
    <col min="18" max="18" width="8.84765625" style="8" customWidth="1"/>
    <col min="19" max="20" width="6.1484375" style="8"/>
    <col min="21" max="22" width="19" style="8" customWidth="1"/>
    <col min="23" max="16384" width="6.1484375" style="8"/>
  </cols>
  <sheetData>
    <row r="1" spans="1:24" s="4" customFormat="1" ht="21.75" customHeight="1" x14ac:dyDescent="0.6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2" t="s">
        <v>17</v>
      </c>
      <c r="S1" s="1" t="s">
        <v>18</v>
      </c>
      <c r="T1" s="1" t="s">
        <v>19</v>
      </c>
      <c r="U1" s="3" t="s">
        <v>62</v>
      </c>
      <c r="V1" s="3" t="s">
        <v>85</v>
      </c>
      <c r="W1" s="3" t="s">
        <v>20</v>
      </c>
      <c r="X1" s="3" t="s">
        <v>87</v>
      </c>
    </row>
    <row r="2" spans="1:24" s="4" customFormat="1" ht="21.75" customHeight="1" x14ac:dyDescent="0.65">
      <c r="A2" s="13" t="s">
        <v>1</v>
      </c>
      <c r="B2">
        <v>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 t="s">
        <v>63</v>
      </c>
      <c r="R2" s="7" t="s">
        <v>53</v>
      </c>
      <c r="S2" s="6" t="e">
        <f>VLOOKUP(E2,GenTable33[],3,TRUE)</f>
        <v>#N/A</v>
      </c>
      <c r="T2" s="7" t="s">
        <v>21</v>
      </c>
      <c r="U2"/>
      <c r="V2" t="s">
        <v>86</v>
      </c>
      <c r="W2" t="s">
        <v>22</v>
      </c>
      <c r="X2" s="15" t="s">
        <v>88</v>
      </c>
    </row>
    <row r="3" spans="1:24" s="4" customFormat="1" ht="21.75" customHeight="1" x14ac:dyDescent="0.65">
      <c r="A3" s="13" t="s">
        <v>1</v>
      </c>
      <c r="B3">
        <v>2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 t="s">
        <v>63</v>
      </c>
      <c r="R3" s="5" t="s">
        <v>54</v>
      </c>
      <c r="S3" s="6" t="e">
        <f>VLOOKUP(E3,GenTable33[],3,TRUE)</f>
        <v>#N/A</v>
      </c>
      <c r="T3" s="7" t="s">
        <v>21</v>
      </c>
      <c r="U3"/>
      <c r="V3" t="s">
        <v>86</v>
      </c>
      <c r="W3" t="s">
        <v>22</v>
      </c>
      <c r="X3" s="15" t="s">
        <v>88</v>
      </c>
    </row>
    <row r="4" spans="1:24" s="4" customFormat="1" ht="21.75" customHeight="1" x14ac:dyDescent="0.65">
      <c r="A4" s="13" t="s">
        <v>1</v>
      </c>
      <c r="B4">
        <v>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 t="s">
        <v>63</v>
      </c>
      <c r="R4" s="5" t="s">
        <v>54</v>
      </c>
      <c r="S4" s="6" t="e">
        <f>VLOOKUP(E4,GenTable33[],3,TRUE)</f>
        <v>#N/A</v>
      </c>
      <c r="T4" s="7" t="s">
        <v>21</v>
      </c>
      <c r="U4"/>
      <c r="V4" t="s">
        <v>86</v>
      </c>
      <c r="W4" t="s">
        <v>22</v>
      </c>
      <c r="X4" s="15" t="s">
        <v>88</v>
      </c>
    </row>
    <row r="5" spans="1:24" s="4" customFormat="1" ht="21.75" customHeight="1" x14ac:dyDescent="0.65">
      <c r="A5" s="13" t="s">
        <v>1</v>
      </c>
      <c r="B5">
        <v>4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 t="s">
        <v>63</v>
      </c>
      <c r="R5" s="7" t="s">
        <v>53</v>
      </c>
      <c r="S5" s="6" t="e">
        <f>VLOOKUP(E5,GenTable33[],3,TRUE)</f>
        <v>#N/A</v>
      </c>
      <c r="T5" s="7" t="s">
        <v>21</v>
      </c>
      <c r="U5"/>
      <c r="V5" t="s">
        <v>86</v>
      </c>
      <c r="W5" t="s">
        <v>22</v>
      </c>
      <c r="X5" s="15" t="s">
        <v>88</v>
      </c>
    </row>
    <row r="6" spans="1:24" s="4" customFormat="1" ht="21.75" customHeight="1" x14ac:dyDescent="0.65">
      <c r="A6" s="13" t="s">
        <v>1</v>
      </c>
      <c r="B6">
        <v>5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 t="s">
        <v>63</v>
      </c>
      <c r="R6" s="5" t="s">
        <v>53</v>
      </c>
      <c r="S6" s="6" t="e">
        <f>VLOOKUP(E6,GenTable33[],3,TRUE)</f>
        <v>#N/A</v>
      </c>
      <c r="T6" s="7" t="s">
        <v>21</v>
      </c>
      <c r="U6"/>
      <c r="V6" t="s">
        <v>86</v>
      </c>
      <c r="W6" t="s">
        <v>22</v>
      </c>
      <c r="X6" s="15" t="s">
        <v>88</v>
      </c>
    </row>
    <row r="7" spans="1:24" s="4" customFormat="1" ht="21.75" customHeight="1" x14ac:dyDescent="0.65">
      <c r="A7" s="13" t="s">
        <v>1</v>
      </c>
      <c r="B7">
        <v>6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 t="s">
        <v>63</v>
      </c>
      <c r="R7" s="7" t="s">
        <v>54</v>
      </c>
      <c r="S7" s="6" t="e">
        <f>VLOOKUP(E7,GenTable33[],3,TRUE)</f>
        <v>#N/A</v>
      </c>
      <c r="T7" s="7" t="s">
        <v>21</v>
      </c>
      <c r="U7"/>
      <c r="V7" t="s">
        <v>86</v>
      </c>
      <c r="W7" t="s">
        <v>22</v>
      </c>
      <c r="X7" s="15" t="s">
        <v>88</v>
      </c>
    </row>
    <row r="8" spans="1:24" s="4" customFormat="1" ht="21.75" customHeight="1" x14ac:dyDescent="0.65">
      <c r="A8" s="13" t="s">
        <v>1</v>
      </c>
      <c r="B8">
        <v>7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 t="s">
        <v>63</v>
      </c>
      <c r="R8" s="7" t="s">
        <v>53</v>
      </c>
      <c r="S8" s="6" t="e">
        <f>VLOOKUP(E8,GenTable33[],3,TRUE)</f>
        <v>#N/A</v>
      </c>
      <c r="T8" s="7" t="s">
        <v>21</v>
      </c>
      <c r="U8"/>
      <c r="V8" t="s">
        <v>86</v>
      </c>
      <c r="W8" t="s">
        <v>22</v>
      </c>
      <c r="X8" s="15" t="s">
        <v>88</v>
      </c>
    </row>
    <row r="9" spans="1:24" s="4" customFormat="1" ht="21.75" customHeight="1" x14ac:dyDescent="0.65">
      <c r="A9" s="13" t="s">
        <v>1</v>
      </c>
      <c r="B9">
        <v>8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 t="s">
        <v>63</v>
      </c>
      <c r="R9" s="25" t="s">
        <v>53</v>
      </c>
      <c r="S9" s="6" t="e">
        <f>VLOOKUP(E9,GenTable33[],3,TRUE)</f>
        <v>#N/A</v>
      </c>
      <c r="T9" s="5" t="s">
        <v>21</v>
      </c>
      <c r="U9"/>
      <c r="V9" t="s">
        <v>86</v>
      </c>
      <c r="W9" t="s">
        <v>22</v>
      </c>
      <c r="X9" s="15" t="s">
        <v>88</v>
      </c>
    </row>
    <row r="10" spans="1:24" s="4" customFormat="1" ht="21.75" customHeight="1" x14ac:dyDescent="0.65">
      <c r="A10" s="13" t="s">
        <v>1</v>
      </c>
      <c r="B10">
        <v>9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 t="s">
        <v>63</v>
      </c>
      <c r="R10" s="5" t="s">
        <v>55</v>
      </c>
      <c r="S10" s="6" t="e">
        <f>VLOOKUP(E10,GenTable33[],3,TRUE)</f>
        <v>#N/A</v>
      </c>
      <c r="T10" s="7" t="s">
        <v>21</v>
      </c>
      <c r="U10"/>
      <c r="V10" t="s">
        <v>86</v>
      </c>
      <c r="W10" t="s">
        <v>22</v>
      </c>
      <c r="X10" s="15" t="s">
        <v>88</v>
      </c>
    </row>
    <row r="11" spans="1:24" ht="17.25" customHeight="1" x14ac:dyDescent="0.65">
      <c r="A11" s="13" t="s">
        <v>1</v>
      </c>
      <c r="B11">
        <v>10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 t="s">
        <v>63</v>
      </c>
      <c r="R11" s="5" t="s">
        <v>53</v>
      </c>
      <c r="S11" s="6" t="e">
        <f>VLOOKUP(E11,GenTable33[],3,TRUE)</f>
        <v>#N/A</v>
      </c>
      <c r="T11" s="7" t="s">
        <v>21</v>
      </c>
      <c r="U11"/>
      <c r="V11" t="s">
        <v>86</v>
      </c>
      <c r="W11" t="s">
        <v>22</v>
      </c>
      <c r="X11" s="15" t="s">
        <v>88</v>
      </c>
    </row>
    <row r="12" spans="1:24" ht="17" customHeight="1" x14ac:dyDescent="0.65">
      <c r="A12" s="13" t="s">
        <v>1</v>
      </c>
      <c r="B12">
        <v>11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 t="s">
        <v>63</v>
      </c>
      <c r="R12" s="5" t="s">
        <v>53</v>
      </c>
      <c r="S12" s="6" t="e">
        <f>VLOOKUP(E12,GenTable33[],3,TRUE)</f>
        <v>#N/A</v>
      </c>
      <c r="T12" s="7" t="s">
        <v>21</v>
      </c>
      <c r="U12"/>
      <c r="V12" t="s">
        <v>86</v>
      </c>
      <c r="W12" t="s">
        <v>22</v>
      </c>
      <c r="X12" s="15" t="s">
        <v>88</v>
      </c>
    </row>
    <row r="13" spans="1:24" ht="18.75" x14ac:dyDescent="0.65">
      <c r="A13" s="13" t="s">
        <v>1</v>
      </c>
      <c r="B13">
        <v>12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 t="s">
        <v>63</v>
      </c>
      <c r="R13" s="5" t="s">
        <v>54</v>
      </c>
      <c r="S13" s="6" t="e">
        <f>VLOOKUP(E13,GenTable33[],3,TRUE)</f>
        <v>#N/A</v>
      </c>
      <c r="T13" s="7" t="s">
        <v>21</v>
      </c>
      <c r="U13"/>
      <c r="V13" t="s">
        <v>86</v>
      </c>
      <c r="W13" t="s">
        <v>22</v>
      </c>
      <c r="X13" s="15" t="s">
        <v>88</v>
      </c>
    </row>
    <row r="14" spans="1:24" ht="18.75" x14ac:dyDescent="0.65">
      <c r="A14" s="13" t="s">
        <v>1</v>
      </c>
      <c r="B14">
        <v>13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 t="s">
        <v>63</v>
      </c>
      <c r="R14" s="7" t="s">
        <v>54</v>
      </c>
      <c r="S14" s="6" t="e">
        <f>VLOOKUP(E14,GenTable33[],3,TRUE)</f>
        <v>#N/A</v>
      </c>
      <c r="T14" s="7" t="s">
        <v>21</v>
      </c>
      <c r="U14"/>
      <c r="V14" t="s">
        <v>86</v>
      </c>
      <c r="W14" t="s">
        <v>22</v>
      </c>
      <c r="X14" s="15" t="s">
        <v>88</v>
      </c>
    </row>
    <row r="15" spans="1:24" ht="18.75" x14ac:dyDescent="0.65">
      <c r="A15" s="13" t="s">
        <v>1</v>
      </c>
      <c r="B15">
        <v>14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 t="s">
        <v>63</v>
      </c>
      <c r="R15" s="7" t="s">
        <v>54</v>
      </c>
      <c r="S15" s="6" t="e">
        <f>VLOOKUP(E15,GenTable33[],3,TRUE)</f>
        <v>#N/A</v>
      </c>
      <c r="T15" s="7" t="s">
        <v>21</v>
      </c>
      <c r="U15"/>
      <c r="V15" t="s">
        <v>86</v>
      </c>
      <c r="W15" t="s">
        <v>22</v>
      </c>
      <c r="X15" s="15" t="s">
        <v>88</v>
      </c>
    </row>
    <row r="16" spans="1:24" ht="18.75" x14ac:dyDescent="0.65">
      <c r="A16" s="13" t="s">
        <v>1</v>
      </c>
      <c r="B16">
        <v>15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 t="s">
        <v>63</v>
      </c>
      <c r="R16" s="7" t="s">
        <v>54</v>
      </c>
      <c r="S16" s="6" t="e">
        <f>VLOOKUP(E16,GenTable33[],3,TRUE)</f>
        <v>#N/A</v>
      </c>
      <c r="T16" s="7" t="s">
        <v>21</v>
      </c>
      <c r="U16"/>
      <c r="V16" t="s">
        <v>86</v>
      </c>
      <c r="W16" t="s">
        <v>22</v>
      </c>
      <c r="X16" s="15" t="s">
        <v>88</v>
      </c>
    </row>
    <row r="17" spans="1:24" ht="18.75" x14ac:dyDescent="0.65">
      <c r="A17" s="13" t="s">
        <v>1</v>
      </c>
      <c r="B17">
        <v>16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 t="s">
        <v>63</v>
      </c>
      <c r="R17" s="7" t="s">
        <v>54</v>
      </c>
      <c r="S17" s="6" t="e">
        <f>VLOOKUP(E17,GenTable33[],3,TRUE)</f>
        <v>#N/A</v>
      </c>
      <c r="T17" s="7" t="s">
        <v>21</v>
      </c>
      <c r="U17"/>
      <c r="V17" t="s">
        <v>86</v>
      </c>
      <c r="W17" t="s">
        <v>22</v>
      </c>
      <c r="X17" s="15" t="s">
        <v>88</v>
      </c>
    </row>
    <row r="18" spans="1:24" ht="18.75" x14ac:dyDescent="0.65">
      <c r="A18" s="13" t="s">
        <v>1</v>
      </c>
      <c r="B18">
        <v>17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 t="s">
        <v>63</v>
      </c>
      <c r="R18" s="7" t="s">
        <v>54</v>
      </c>
      <c r="S18" s="6" t="e">
        <f>VLOOKUP(E18,GenTable33[],3,TRUE)</f>
        <v>#N/A</v>
      </c>
      <c r="T18" s="7" t="s">
        <v>21</v>
      </c>
      <c r="U18"/>
      <c r="V18" t="s">
        <v>86</v>
      </c>
      <c r="W18" t="s">
        <v>22</v>
      </c>
      <c r="X18" s="15" t="s">
        <v>88</v>
      </c>
    </row>
    <row r="19" spans="1:24" ht="18.75" x14ac:dyDescent="0.65">
      <c r="A19" s="13" t="s">
        <v>1</v>
      </c>
      <c r="B19">
        <v>18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 t="s">
        <v>63</v>
      </c>
      <c r="R19" s="5" t="s">
        <v>54</v>
      </c>
      <c r="S19" s="6" t="e">
        <f>VLOOKUP(E19,GenTable33[],3,TRUE)</f>
        <v>#N/A</v>
      </c>
      <c r="T19" s="7" t="s">
        <v>21</v>
      </c>
      <c r="U19"/>
      <c r="V19" t="s">
        <v>86</v>
      </c>
      <c r="W19" t="s">
        <v>22</v>
      </c>
      <c r="X19" s="15" t="s">
        <v>88</v>
      </c>
    </row>
    <row r="20" spans="1:24" ht="18.75" x14ac:dyDescent="0.65">
      <c r="A20" s="13" t="s">
        <v>1</v>
      </c>
      <c r="B20">
        <v>19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 t="s">
        <v>63</v>
      </c>
      <c r="R20" s="7" t="s">
        <v>53</v>
      </c>
      <c r="S20" s="6" t="e">
        <f>VLOOKUP(E20,GenTable33[],3,TRUE)</f>
        <v>#N/A</v>
      </c>
      <c r="T20" s="7" t="s">
        <v>21</v>
      </c>
      <c r="U20"/>
      <c r="V20" t="s">
        <v>86</v>
      </c>
      <c r="W20" t="s">
        <v>22</v>
      </c>
      <c r="X20" s="15" t="s">
        <v>88</v>
      </c>
    </row>
    <row r="21" spans="1:24" ht="18.75" x14ac:dyDescent="0.65">
      <c r="A21" s="13" t="s">
        <v>1</v>
      </c>
      <c r="B21">
        <v>20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 t="s">
        <v>63</v>
      </c>
      <c r="R21" s="7" t="s">
        <v>54</v>
      </c>
      <c r="S21" s="6" t="e">
        <f>VLOOKUP(E21,GenTable33[],3,TRUE)</f>
        <v>#N/A</v>
      </c>
      <c r="T21" s="7" t="s">
        <v>21</v>
      </c>
      <c r="U21"/>
      <c r="V21" t="s">
        <v>86</v>
      </c>
      <c r="W21" t="s">
        <v>22</v>
      </c>
      <c r="X21" s="15" t="s">
        <v>88</v>
      </c>
    </row>
    <row r="22" spans="1:24" ht="18.75" x14ac:dyDescent="0.65">
      <c r="A22" s="13" t="s">
        <v>1</v>
      </c>
      <c r="B22">
        <v>21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 t="s">
        <v>63</v>
      </c>
      <c r="R22" s="7" t="s">
        <v>53</v>
      </c>
      <c r="S22" s="6" t="e">
        <f>VLOOKUP(E22,GenTable33[],3,TRUE)</f>
        <v>#N/A</v>
      </c>
      <c r="T22" s="7" t="s">
        <v>21</v>
      </c>
      <c r="U22"/>
      <c r="V22" t="s">
        <v>86</v>
      </c>
      <c r="W22" t="s">
        <v>22</v>
      </c>
      <c r="X22" s="15" t="s">
        <v>88</v>
      </c>
    </row>
    <row r="23" spans="1:24" ht="18.75" x14ac:dyDescent="0.65">
      <c r="A23" s="13" t="s">
        <v>1</v>
      </c>
      <c r="B23">
        <v>22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 t="s">
        <v>63</v>
      </c>
      <c r="R23" s="5" t="s">
        <v>55</v>
      </c>
      <c r="S23" s="6" t="e">
        <f>VLOOKUP(E23,GenTable33[],3,TRUE)</f>
        <v>#N/A</v>
      </c>
      <c r="T23" s="5" t="s">
        <v>21</v>
      </c>
      <c r="U23"/>
      <c r="V23" t="s">
        <v>86</v>
      </c>
      <c r="W23" t="s">
        <v>22</v>
      </c>
      <c r="X23" s="15" t="s">
        <v>88</v>
      </c>
    </row>
    <row r="24" spans="1:24" ht="18.75" x14ac:dyDescent="0.65">
      <c r="A24" s="13" t="s">
        <v>1</v>
      </c>
      <c r="B24">
        <v>23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 t="s">
        <v>63</v>
      </c>
      <c r="R24" s="5" t="s">
        <v>53</v>
      </c>
      <c r="S24" s="6" t="e">
        <f>VLOOKUP(E24,GenTable33[],3,TRUE)</f>
        <v>#N/A</v>
      </c>
      <c r="T24" s="7" t="s">
        <v>21</v>
      </c>
      <c r="U24"/>
      <c r="V24" t="s">
        <v>86</v>
      </c>
      <c r="W24" t="s">
        <v>22</v>
      </c>
      <c r="X24" s="15" t="s">
        <v>88</v>
      </c>
    </row>
    <row r="25" spans="1:24" ht="25.25" customHeight="1" x14ac:dyDescent="0.65">
      <c r="A25" s="13" t="s">
        <v>1</v>
      </c>
      <c r="B25">
        <v>24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 t="s">
        <v>63</v>
      </c>
      <c r="R25" s="5" t="str">
        <f>IF(AND(E25&gt;=18, E25&lt;=24), "18-24", IF(AND(E25&gt;=25, E25&lt;=44), "25-44", "45+"))</f>
        <v>45+</v>
      </c>
      <c r="S25" s="6" t="e">
        <f>VLOOKUP(E25,GenTable33[],3,TRUE)</f>
        <v>#N/A</v>
      </c>
      <c r="T25" s="7"/>
      <c r="U25"/>
      <c r="V25" t="s">
        <v>86</v>
      </c>
      <c r="W25" t="s">
        <v>22</v>
      </c>
      <c r="X25" s="15"/>
    </row>
    <row r="26" spans="1:24" ht="18.75" x14ac:dyDescent="0.65">
      <c r="A26" s="13" t="s">
        <v>1</v>
      </c>
      <c r="B26">
        <v>25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 t="s">
        <v>63</v>
      </c>
      <c r="R26" s="5" t="str">
        <f>IF(AND(E26&gt;=18, E26&lt;=24), "18-24", IF(AND(E26&gt;=25, E26&lt;=44), "25-44", "45+"))</f>
        <v>45+</v>
      </c>
      <c r="S26" s="6" t="e">
        <f>VLOOKUP(E26,GenTable33[],3,TRUE)</f>
        <v>#N/A</v>
      </c>
      <c r="T26" s="7"/>
      <c r="U26"/>
      <c r="V26" t="s">
        <v>86</v>
      </c>
      <c r="W26" t="s">
        <v>22</v>
      </c>
      <c r="X26" s="15"/>
    </row>
    <row r="27" spans="1:24" ht="18.75" x14ac:dyDescent="0.65">
      <c r="A27" s="13" t="s">
        <v>1</v>
      </c>
      <c r="B27">
        <v>26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 t="s">
        <v>63</v>
      </c>
      <c r="R27" s="5" t="str">
        <f>IF(AND(E27&gt;=18, E27&lt;=24), "18-24", IF(AND(E27&gt;=25, E27&lt;=44), "25-44", "45+"))</f>
        <v>45+</v>
      </c>
      <c r="S27" s="6" t="e">
        <f>VLOOKUP(E27,GenTable33[],3,TRUE)</f>
        <v>#N/A</v>
      </c>
      <c r="T27" s="7"/>
      <c r="U27"/>
      <c r="V27" t="s">
        <v>86</v>
      </c>
      <c r="W27" t="s">
        <v>22</v>
      </c>
      <c r="X27" s="15"/>
    </row>
    <row r="28" spans="1:24" ht="18.75" x14ac:dyDescent="0.65">
      <c r="A28" s="13" t="s">
        <v>1</v>
      </c>
      <c r="B28">
        <v>27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 t="s">
        <v>63</v>
      </c>
      <c r="R28" s="5" t="s">
        <v>55</v>
      </c>
      <c r="S28" s="6" t="e">
        <f>VLOOKUP(E28,GenTable33[],3,TRUE)</f>
        <v>#N/A</v>
      </c>
      <c r="T28" s="7" t="s">
        <v>21</v>
      </c>
      <c r="U28"/>
      <c r="V28" t="s">
        <v>86</v>
      </c>
      <c r="W28" t="s">
        <v>22</v>
      </c>
      <c r="X28" s="15" t="s">
        <v>88</v>
      </c>
    </row>
    <row r="29" spans="1:24" ht="18.75" x14ac:dyDescent="0.65">
      <c r="A29" s="24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 t="s">
        <v>63</v>
      </c>
      <c r="R29" s="5" t="str">
        <f>IF(AND(E29&gt;=18, E29&lt;=24), "18-24", IF(AND(E29&gt;=25, E29&lt;=44), "25-44", "45+"))</f>
        <v>45+</v>
      </c>
      <c r="S29" s="6" t="e">
        <f>VLOOKUP(E29,GenTable33[],3,TRUE)</f>
        <v>#N/A</v>
      </c>
      <c r="T29" s="7"/>
      <c r="U29"/>
      <c r="V29" t="s">
        <v>86</v>
      </c>
      <c r="W29"/>
      <c r="X29" s="15"/>
    </row>
    <row r="30" spans="1:24" ht="18.75" x14ac:dyDescent="0.65">
      <c r="K30" s="9" t="s">
        <v>23</v>
      </c>
      <c r="L30" s="10" t="s">
        <v>24</v>
      </c>
      <c r="M30" s="9" t="s">
        <v>25</v>
      </c>
    </row>
    <row r="31" spans="1:24" ht="18.75" x14ac:dyDescent="0.65">
      <c r="K31" s="9">
        <v>19</v>
      </c>
      <c r="L31" s="22" t="s">
        <v>95</v>
      </c>
      <c r="M31" s="11" t="s">
        <v>26</v>
      </c>
    </row>
    <row r="32" spans="1:24" ht="18.75" x14ac:dyDescent="0.65">
      <c r="K32" s="9">
        <v>29</v>
      </c>
      <c r="L32" t="s">
        <v>96</v>
      </c>
      <c r="M32" s="12" t="s">
        <v>27</v>
      </c>
    </row>
    <row r="33" spans="1:13" ht="18.75" x14ac:dyDescent="0.65">
      <c r="A33" s="8" t="s">
        <v>83</v>
      </c>
      <c r="C33" s="8" t="s">
        <v>84</v>
      </c>
      <c r="K33" s="9">
        <v>45</v>
      </c>
      <c r="L33" t="s">
        <v>97</v>
      </c>
      <c r="M33" s="11" t="s">
        <v>28</v>
      </c>
    </row>
    <row r="34" spans="1:13" ht="18.75" x14ac:dyDescent="0.65">
      <c r="K34" s="9">
        <v>61</v>
      </c>
      <c r="L34" t="s">
        <v>98</v>
      </c>
      <c r="M34" s="12" t="s">
        <v>29</v>
      </c>
    </row>
    <row r="35" spans="1:13" ht="18.75" x14ac:dyDescent="0.65">
      <c r="A35" s="8" t="e">
        <f t="shared" ref="A35:A62" si="0">Q2 &amp; " " &amp; E2  &amp; " " &amp; W2 &amp; " " &amp; S2 &amp; CHAR(10) &amp; G2 &amp; " " &amp; W2 &amp; " " &amp; D2 &amp; CHAR(10) &amp; J2 &amp; CHAR(10) &amp; H2&amp; CHAR(10)  &amp; L2 &amp; CHAR(10) &amp; O2 &amp; CHAR(10)&amp; N2</f>
        <v>#N/A</v>
      </c>
      <c r="B35" s="8">
        <f t="shared" ref="B35:B63" si="1">U2</f>
        <v>0</v>
      </c>
      <c r="C35" s="8" t="str">
        <f t="shared" ref="C35:C63" si="2">Q2 &amp; " " &amp; E2 &amp; CHAR(10) &amp; G2 &amp; CHAR(10) &amp; H2 &amp; CHAR(10) &amp; J2 &amp; CHAR(10) &amp; N2</f>
        <v xml:space="preserve">Age 
</v>
      </c>
      <c r="K35" s="9">
        <v>80</v>
      </c>
      <c r="L35" s="23" t="s">
        <v>99</v>
      </c>
      <c r="M35" s="11" t="s">
        <v>30</v>
      </c>
    </row>
    <row r="36" spans="1:13" x14ac:dyDescent="0.6">
      <c r="A36" s="8" t="e">
        <f t="shared" si="0"/>
        <v>#N/A</v>
      </c>
      <c r="B36" s="8">
        <f t="shared" si="1"/>
        <v>0</v>
      </c>
      <c r="C36" s="8" t="str">
        <f t="shared" si="2"/>
        <v xml:space="preserve">Age 
</v>
      </c>
    </row>
    <row r="37" spans="1:13" x14ac:dyDescent="0.6">
      <c r="A37" s="8" t="e">
        <f t="shared" si="0"/>
        <v>#N/A</v>
      </c>
      <c r="B37" s="8">
        <f t="shared" si="1"/>
        <v>0</v>
      </c>
      <c r="C37" s="8" t="str">
        <f t="shared" si="2"/>
        <v xml:space="preserve">Age 
</v>
      </c>
    </row>
    <row r="38" spans="1:13" x14ac:dyDescent="0.6">
      <c r="A38" s="8" t="e">
        <f t="shared" si="0"/>
        <v>#N/A</v>
      </c>
      <c r="B38" s="8">
        <f t="shared" si="1"/>
        <v>0</v>
      </c>
      <c r="C38" s="8" t="str">
        <f t="shared" si="2"/>
        <v xml:space="preserve">Age 
</v>
      </c>
    </row>
    <row r="39" spans="1:13" x14ac:dyDescent="0.6">
      <c r="A39" s="8" t="e">
        <f t="shared" si="0"/>
        <v>#N/A</v>
      </c>
      <c r="B39" s="8">
        <f t="shared" si="1"/>
        <v>0</v>
      </c>
      <c r="C39" s="8" t="str">
        <f t="shared" si="2"/>
        <v xml:space="preserve">Age 
</v>
      </c>
    </row>
    <row r="40" spans="1:13" x14ac:dyDescent="0.6">
      <c r="A40" s="8" t="e">
        <f t="shared" si="0"/>
        <v>#N/A</v>
      </c>
      <c r="B40" s="8">
        <f t="shared" si="1"/>
        <v>0</v>
      </c>
      <c r="C40" s="8" t="str">
        <f t="shared" si="2"/>
        <v xml:space="preserve">Age 
</v>
      </c>
    </row>
    <row r="41" spans="1:13" x14ac:dyDescent="0.6">
      <c r="A41" s="8" t="e">
        <f t="shared" si="0"/>
        <v>#N/A</v>
      </c>
      <c r="B41" s="8">
        <f t="shared" si="1"/>
        <v>0</v>
      </c>
      <c r="C41" s="8" t="str">
        <f t="shared" si="2"/>
        <v xml:space="preserve">Age 
</v>
      </c>
    </row>
    <row r="42" spans="1:13" x14ac:dyDescent="0.6">
      <c r="A42" s="8" t="e">
        <f t="shared" si="0"/>
        <v>#N/A</v>
      </c>
      <c r="B42" s="8">
        <f t="shared" si="1"/>
        <v>0</v>
      </c>
      <c r="C42" s="8" t="str">
        <f t="shared" si="2"/>
        <v xml:space="preserve">Age 
</v>
      </c>
    </row>
    <row r="43" spans="1:13" x14ac:dyDescent="0.6">
      <c r="A43" s="8" t="e">
        <f t="shared" si="0"/>
        <v>#N/A</v>
      </c>
      <c r="B43" s="8">
        <f t="shared" si="1"/>
        <v>0</v>
      </c>
      <c r="C43" s="8" t="str">
        <f t="shared" si="2"/>
        <v xml:space="preserve">Age 
</v>
      </c>
    </row>
    <row r="44" spans="1:13" x14ac:dyDescent="0.6">
      <c r="A44" s="8" t="e">
        <f t="shared" si="0"/>
        <v>#N/A</v>
      </c>
      <c r="B44" s="8">
        <f t="shared" si="1"/>
        <v>0</v>
      </c>
      <c r="C44" s="8" t="str">
        <f t="shared" si="2"/>
        <v xml:space="preserve">Age 
</v>
      </c>
    </row>
    <row r="45" spans="1:13" x14ac:dyDescent="0.6">
      <c r="A45" s="8" t="e">
        <f t="shared" si="0"/>
        <v>#N/A</v>
      </c>
      <c r="B45" s="8">
        <f t="shared" si="1"/>
        <v>0</v>
      </c>
      <c r="C45" s="8" t="str">
        <f t="shared" si="2"/>
        <v xml:space="preserve">Age 
</v>
      </c>
    </row>
    <row r="46" spans="1:13" x14ac:dyDescent="0.6">
      <c r="A46" s="8" t="e">
        <f t="shared" si="0"/>
        <v>#N/A</v>
      </c>
      <c r="B46" s="8">
        <f t="shared" si="1"/>
        <v>0</v>
      </c>
      <c r="C46" s="8" t="str">
        <f t="shared" si="2"/>
        <v xml:space="preserve">Age 
</v>
      </c>
    </row>
    <row r="47" spans="1:13" x14ac:dyDescent="0.6">
      <c r="A47" s="8" t="e">
        <f t="shared" si="0"/>
        <v>#N/A</v>
      </c>
      <c r="B47" s="8">
        <f t="shared" si="1"/>
        <v>0</v>
      </c>
      <c r="C47" s="8" t="str">
        <f t="shared" si="2"/>
        <v xml:space="preserve">Age 
</v>
      </c>
    </row>
    <row r="48" spans="1:13" x14ac:dyDescent="0.6">
      <c r="A48" s="8" t="e">
        <f t="shared" si="0"/>
        <v>#N/A</v>
      </c>
      <c r="B48" s="8">
        <f t="shared" si="1"/>
        <v>0</v>
      </c>
      <c r="C48" s="8" t="str">
        <f t="shared" si="2"/>
        <v xml:space="preserve">Age 
</v>
      </c>
    </row>
    <row r="49" spans="1:3" x14ac:dyDescent="0.6">
      <c r="A49" s="8" t="e">
        <f t="shared" si="0"/>
        <v>#N/A</v>
      </c>
      <c r="B49" s="8">
        <f t="shared" si="1"/>
        <v>0</v>
      </c>
      <c r="C49" s="8" t="str">
        <f t="shared" si="2"/>
        <v xml:space="preserve">Age 
</v>
      </c>
    </row>
    <row r="50" spans="1:3" x14ac:dyDescent="0.6">
      <c r="A50" s="8" t="e">
        <f t="shared" si="0"/>
        <v>#N/A</v>
      </c>
      <c r="B50" s="8">
        <f t="shared" si="1"/>
        <v>0</v>
      </c>
      <c r="C50" s="8" t="str">
        <f t="shared" si="2"/>
        <v xml:space="preserve">Age 
</v>
      </c>
    </row>
    <row r="51" spans="1:3" x14ac:dyDescent="0.6">
      <c r="A51" s="8" t="e">
        <f t="shared" si="0"/>
        <v>#N/A</v>
      </c>
      <c r="B51" s="8">
        <f t="shared" si="1"/>
        <v>0</v>
      </c>
      <c r="C51" s="8" t="str">
        <f t="shared" si="2"/>
        <v xml:space="preserve">Age 
</v>
      </c>
    </row>
    <row r="52" spans="1:3" x14ac:dyDescent="0.6">
      <c r="A52" s="8" t="e">
        <f t="shared" si="0"/>
        <v>#N/A</v>
      </c>
      <c r="B52" s="8">
        <f t="shared" si="1"/>
        <v>0</v>
      </c>
      <c r="C52" s="8" t="str">
        <f t="shared" si="2"/>
        <v xml:space="preserve">Age 
</v>
      </c>
    </row>
    <row r="53" spans="1:3" x14ac:dyDescent="0.6">
      <c r="A53" s="8" t="e">
        <f t="shared" si="0"/>
        <v>#N/A</v>
      </c>
      <c r="B53" s="8">
        <f t="shared" si="1"/>
        <v>0</v>
      </c>
      <c r="C53" s="8" t="str">
        <f t="shared" si="2"/>
        <v xml:space="preserve">Age 
</v>
      </c>
    </row>
    <row r="54" spans="1:3" x14ac:dyDescent="0.6">
      <c r="A54" s="8" t="e">
        <f t="shared" si="0"/>
        <v>#N/A</v>
      </c>
      <c r="B54" s="8">
        <f t="shared" si="1"/>
        <v>0</v>
      </c>
      <c r="C54" s="8" t="str">
        <f t="shared" si="2"/>
        <v xml:space="preserve">Age 
</v>
      </c>
    </row>
    <row r="55" spans="1:3" x14ac:dyDescent="0.6">
      <c r="A55" s="8" t="e">
        <f t="shared" si="0"/>
        <v>#N/A</v>
      </c>
      <c r="B55" s="8">
        <f t="shared" si="1"/>
        <v>0</v>
      </c>
      <c r="C55" s="8" t="str">
        <f t="shared" si="2"/>
        <v xml:space="preserve">Age 
</v>
      </c>
    </row>
    <row r="56" spans="1:3" x14ac:dyDescent="0.6">
      <c r="A56" s="8" t="e">
        <f t="shared" si="0"/>
        <v>#N/A</v>
      </c>
      <c r="B56" s="8">
        <f t="shared" si="1"/>
        <v>0</v>
      </c>
      <c r="C56" s="8" t="str">
        <f t="shared" si="2"/>
        <v xml:space="preserve">Age 
</v>
      </c>
    </row>
    <row r="57" spans="1:3" x14ac:dyDescent="0.6">
      <c r="A57" s="8" t="e">
        <f t="shared" si="0"/>
        <v>#N/A</v>
      </c>
      <c r="B57" s="8">
        <f t="shared" si="1"/>
        <v>0</v>
      </c>
      <c r="C57" s="8" t="str">
        <f t="shared" si="2"/>
        <v xml:space="preserve">Age 
</v>
      </c>
    </row>
    <row r="58" spans="1:3" x14ac:dyDescent="0.6">
      <c r="A58" s="8" t="e">
        <f t="shared" si="0"/>
        <v>#N/A</v>
      </c>
      <c r="B58" s="8">
        <f t="shared" si="1"/>
        <v>0</v>
      </c>
      <c r="C58" s="8" t="str">
        <f t="shared" si="2"/>
        <v xml:space="preserve">Age 
</v>
      </c>
    </row>
    <row r="59" spans="1:3" x14ac:dyDescent="0.6">
      <c r="A59" s="8" t="e">
        <f t="shared" si="0"/>
        <v>#N/A</v>
      </c>
      <c r="B59" s="8">
        <f t="shared" si="1"/>
        <v>0</v>
      </c>
      <c r="C59" s="8" t="str">
        <f t="shared" si="2"/>
        <v xml:space="preserve">Age 
</v>
      </c>
    </row>
    <row r="60" spans="1:3" x14ac:dyDescent="0.6">
      <c r="A60" s="8" t="e">
        <f t="shared" si="0"/>
        <v>#N/A</v>
      </c>
      <c r="B60" s="8">
        <f t="shared" si="1"/>
        <v>0</v>
      </c>
      <c r="C60" s="8" t="str">
        <f t="shared" si="2"/>
        <v xml:space="preserve">Age 
</v>
      </c>
    </row>
    <row r="61" spans="1:3" x14ac:dyDescent="0.6">
      <c r="A61" s="8" t="e">
        <f t="shared" si="0"/>
        <v>#N/A</v>
      </c>
      <c r="B61" s="8">
        <f t="shared" si="1"/>
        <v>0</v>
      </c>
      <c r="C61" s="8" t="str">
        <f t="shared" si="2"/>
        <v xml:space="preserve">Age 
</v>
      </c>
    </row>
    <row r="62" spans="1:3" x14ac:dyDescent="0.6">
      <c r="A62" s="8" t="e">
        <f t="shared" si="0"/>
        <v>#N/A</v>
      </c>
      <c r="B62" s="8">
        <f t="shared" si="1"/>
        <v>0</v>
      </c>
      <c r="C62" s="8" t="str">
        <f t="shared" si="2"/>
        <v xml:space="preserve">Age 
</v>
      </c>
    </row>
    <row r="63" spans="1:3" x14ac:dyDescent="0.6">
      <c r="A63" s="8" t="e">
        <f>#REF! &amp; " " &amp;#REF!  &amp; " " &amp;#REF! &amp; " " &amp;#REF! &amp; CHAR(10) &amp;#REF! &amp; " " &amp;#REF! &amp; " " &amp;#REF! &amp; CHAR(10) &amp;#REF! &amp; CHAR(10) &amp;#REF!&amp; CHAR(10)  &amp;#REF! &amp; CHAR(10) &amp;#REF! &amp; CHAR(10) &amp;#REF!</f>
        <v>#REF!</v>
      </c>
      <c r="B63" s="8">
        <f t="shared" si="1"/>
        <v>0</v>
      </c>
      <c r="C63" s="8" t="str">
        <f t="shared" si="2"/>
        <v xml:space="preserve"> 
</v>
      </c>
    </row>
    <row r="64" spans="1:3" x14ac:dyDescent="0.6">
      <c r="A64" s="8" t="e">
        <f>#REF! &amp; " " &amp;#REF!  &amp; " " &amp;#REF! &amp; " " &amp;#REF! &amp; CHAR(10) &amp;#REF! &amp; " " &amp;#REF! &amp; " " &amp;#REF! &amp; CHAR(10) &amp;#REF! &amp; CHAR(10) &amp;#REF!&amp; CHAR(10)  &amp;#REF! &amp; CHAR(10) &amp;#REF! &amp; CHAR(10) &amp;#REF!</f>
        <v>#REF!</v>
      </c>
    </row>
    <row r="65" spans="1:1" x14ac:dyDescent="0.6">
      <c r="A65" s="8" t="e">
        <f>#REF! &amp; " " &amp;#REF! &amp;CHAR(10) &amp;  " " &amp;#REF! &amp; " " &amp;#REF!  &amp; " " &amp;#REF! &amp; " " &amp;#REF! &amp; CHAR(10) &amp;#REF! &amp; " " &amp;#REF! &amp; " " &amp;#REF! &amp; CHAR(10) &amp;#REF! &amp; CHAR(10) &amp;#REF!&amp; CHAR(10)  &amp;#REF! &amp; CHAR(10) &amp;#REF! &amp; CHAR(10) &amp;#REF!</f>
        <v>#REF!</v>
      </c>
    </row>
    <row r="66" spans="1:1" x14ac:dyDescent="0.6">
      <c r="A66" s="8" t="e">
        <f>#REF! &amp; " " &amp;#REF! &amp;CHAR(10) &amp;  " " &amp;#REF! &amp; " " &amp;#REF!  &amp; " " &amp;#REF! &amp; " " &amp;#REF! &amp; CHAR(10) &amp;#REF! &amp; " " &amp;#REF! &amp; " " &amp;#REF! &amp; CHAR(10) &amp;#REF! &amp; CHAR(10) &amp;#REF!&amp; CHAR(10)  &amp;#REF! &amp; CHAR(10) &amp;#REF! &amp; CHAR(10) &amp;#REF!</f>
        <v>#REF!</v>
      </c>
    </row>
  </sheetData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placeEducationValues">
                <anchor moveWithCells="1" sizeWithCells="1">
                  <from>
                    <xdr:col>1</xdr:col>
                    <xdr:colOff>633413</xdr:colOff>
                    <xdr:row>29</xdr:row>
                    <xdr:rowOff>0</xdr:rowOff>
                  </from>
                  <to>
                    <xdr:col>2</xdr:col>
                    <xdr:colOff>1052513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placeEmployValues_ActiveSheet">
                <anchor moveWithCells="1" sizeWithCells="1">
                  <from>
                    <xdr:col>2</xdr:col>
                    <xdr:colOff>1166813</xdr:colOff>
                    <xdr:row>29</xdr:row>
                    <xdr:rowOff>0</xdr:rowOff>
                  </from>
                  <to>
                    <xdr:col>2</xdr:col>
                    <xdr:colOff>2271713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placeHouseholdIncomeValues">
                <anchor moveWithCells="1" sizeWithCells="1">
                  <from>
                    <xdr:col>4</xdr:col>
                    <xdr:colOff>23813</xdr:colOff>
                    <xdr:row>29</xdr:row>
                    <xdr:rowOff>0</xdr:rowOff>
                  </from>
                  <to>
                    <xdr:col>5</xdr:col>
                    <xdr:colOff>519113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placeMaritalValues">
                <anchor moveWithCells="1" sizeWithCells="1">
                  <from>
                    <xdr:col>3</xdr:col>
                    <xdr:colOff>38100</xdr:colOff>
                    <xdr:row>29</xdr:row>
                    <xdr:rowOff>0</xdr:rowOff>
                  </from>
                  <to>
                    <xdr:col>3</xdr:col>
                    <xdr:colOff>1143000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placeRacevalues">
                <anchor moveWithCells="1" sizeWithCells="1">
                  <from>
                    <xdr:col>5</xdr:col>
                    <xdr:colOff>647700</xdr:colOff>
                    <xdr:row>29</xdr:row>
                    <xdr:rowOff>0</xdr:rowOff>
                  </from>
                  <to>
                    <xdr:col>6</xdr:col>
                    <xdr:colOff>976313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HighlightLongText">
                <anchor moveWithCells="1" sizeWithCells="1">
                  <from>
                    <xdr:col>6</xdr:col>
                    <xdr:colOff>1090613</xdr:colOff>
                    <xdr:row>29</xdr:row>
                    <xdr:rowOff>0</xdr:rowOff>
                  </from>
                  <to>
                    <xdr:col>7</xdr:col>
                    <xdr:colOff>862013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moveYellowHighlight">
                <anchor moveWithCells="1" sizeWithCells="1">
                  <from>
                    <xdr:col>7</xdr:col>
                    <xdr:colOff>976313</xdr:colOff>
                    <xdr:row>29</xdr:row>
                    <xdr:rowOff>0</xdr:rowOff>
                  </from>
                  <to>
                    <xdr:col>7</xdr:col>
                    <xdr:colOff>2081213</xdr:colOff>
                    <xdr:row>30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BC588-4805-47BA-B409-8613F10F31E0}">
  <sheetPr codeName="Sheet2"/>
  <dimension ref="C1:N105"/>
  <sheetViews>
    <sheetView showGridLines="0" topLeftCell="A23" zoomScale="70" zoomScaleNormal="70" zoomScaleSheetLayoutView="70" workbookViewId="0">
      <selection activeCell="J24" sqref="J24"/>
    </sheetView>
  </sheetViews>
  <sheetFormatPr defaultRowHeight="18.75" x14ac:dyDescent="0.65"/>
  <cols>
    <col min="1" max="1" width="15" customWidth="1"/>
    <col min="2" max="2" width="1.59765625" customWidth="1"/>
    <col min="3" max="3" width="21.3984375" style="14" customWidth="1"/>
    <col min="4" max="4" width="25.59765625" style="14" customWidth="1"/>
    <col min="5" max="5" width="3" style="14" customWidth="1"/>
    <col min="6" max="6" width="21.3984375" style="14" customWidth="1"/>
    <col min="7" max="7" width="25.59765625" style="14" customWidth="1"/>
    <col min="8" max="8" width="20" style="14" customWidth="1"/>
    <col min="9" max="9" width="23.59765625" customWidth="1"/>
  </cols>
  <sheetData>
    <row r="1" spans="3:14" ht="84.75" customHeight="1" x14ac:dyDescent="0.65">
      <c r="C1" s="21"/>
      <c r="D1" s="20" t="s">
        <v>89</v>
      </c>
      <c r="E1" s="17"/>
    </row>
    <row r="2" spans="3:14" ht="31.5" customHeight="1" x14ac:dyDescent="0.65">
      <c r="C2" s="18" t="s">
        <v>58</v>
      </c>
      <c r="G2" s="14" t="s">
        <v>59</v>
      </c>
    </row>
    <row r="3" spans="3:14" ht="58.25" customHeight="1" x14ac:dyDescent="0.65">
      <c r="C3" s="18"/>
    </row>
    <row r="4" spans="3:14" ht="56" customHeight="1" x14ac:dyDescent="0.65">
      <c r="C4" s="18" t="s">
        <v>31</v>
      </c>
      <c r="F4" s="14" t="s">
        <v>32</v>
      </c>
    </row>
    <row r="5" spans="3:14" ht="50.75" customHeight="1" x14ac:dyDescent="0.65">
      <c r="C5" s="18"/>
      <c r="D5" s="14" t="s">
        <v>60</v>
      </c>
      <c r="G5" s="14" t="s">
        <v>57</v>
      </c>
      <c r="H5" s="14" t="s">
        <v>57</v>
      </c>
    </row>
    <row r="6" spans="3:14" ht="47.75" customHeight="1" x14ac:dyDescent="0.65">
      <c r="C6" s="19"/>
    </row>
    <row r="7" spans="3:14" ht="4.25" customHeight="1" x14ac:dyDescent="0.65">
      <c r="C7" s="19"/>
      <c r="H7" s="14" t="s">
        <v>57</v>
      </c>
      <c r="N7" s="16"/>
    </row>
    <row r="8" spans="3:14" ht="58.25" customHeight="1" x14ac:dyDescent="0.65">
      <c r="C8" s="18"/>
      <c r="H8" s="14" t="s">
        <v>61</v>
      </c>
    </row>
    <row r="9" spans="3:14" ht="56" customHeight="1" x14ac:dyDescent="0.65">
      <c r="C9" s="18" t="s">
        <v>33</v>
      </c>
      <c r="D9" s="14" t="s">
        <v>56</v>
      </c>
      <c r="F9" s="14" t="s">
        <v>34</v>
      </c>
      <c r="G9" s="14" t="s">
        <v>61</v>
      </c>
    </row>
    <row r="10" spans="3:14" ht="50.75" customHeight="1" x14ac:dyDescent="0.65">
      <c r="C10" s="18"/>
    </row>
    <row r="11" spans="3:14" ht="47.75" customHeight="1" x14ac:dyDescent="0.65">
      <c r="C11" s="19"/>
    </row>
    <row r="12" spans="3:14" ht="4.5" customHeight="1" x14ac:dyDescent="0.65">
      <c r="C12" s="19"/>
      <c r="G12" s="19"/>
      <c r="H12" s="14" t="s">
        <v>57</v>
      </c>
    </row>
    <row r="13" spans="3:14" ht="58.25" customHeight="1" x14ac:dyDescent="0.65">
      <c r="C13" s="18"/>
      <c r="H13" s="14" t="s">
        <v>61</v>
      </c>
    </row>
    <row r="14" spans="3:14" ht="56" customHeight="1" x14ac:dyDescent="0.65">
      <c r="C14" s="18" t="s">
        <v>35</v>
      </c>
      <c r="D14" s="14" t="s">
        <v>73</v>
      </c>
      <c r="F14" s="14" t="s">
        <v>36</v>
      </c>
      <c r="G14" s="14" t="s">
        <v>64</v>
      </c>
    </row>
    <row r="15" spans="3:14" ht="50.75" customHeight="1" x14ac:dyDescent="0.65">
      <c r="C15" s="18"/>
    </row>
    <row r="16" spans="3:14" ht="47.75" customHeight="1" x14ac:dyDescent="0.65">
      <c r="C16" s="19"/>
    </row>
    <row r="17" spans="3:8" ht="4.5" customHeight="1" x14ac:dyDescent="0.65">
      <c r="C17" s="19"/>
      <c r="G17" s="19"/>
    </row>
    <row r="18" spans="3:8" ht="58.25" customHeight="1" x14ac:dyDescent="0.65">
      <c r="C18" s="18"/>
    </row>
    <row r="19" spans="3:8" ht="56" customHeight="1" x14ac:dyDescent="0.65">
      <c r="C19" s="18" t="s">
        <v>37</v>
      </c>
      <c r="D19" s="14" t="s">
        <v>74</v>
      </c>
      <c r="F19" s="14" t="s">
        <v>38</v>
      </c>
      <c r="G19" s="14" t="s">
        <v>65</v>
      </c>
    </row>
    <row r="20" spans="3:8" ht="50.75" customHeight="1" x14ac:dyDescent="0.65">
      <c r="C20" s="18"/>
    </row>
    <row r="21" spans="3:8" ht="47.75" customHeight="1" x14ac:dyDescent="0.65">
      <c r="C21" s="19"/>
      <c r="H21" s="14" t="s">
        <v>57</v>
      </c>
    </row>
    <row r="22" spans="3:8" ht="4.5" customHeight="1" x14ac:dyDescent="0.65">
      <c r="C22" s="19"/>
      <c r="G22" s="19"/>
      <c r="H22" s="14" t="s">
        <v>61</v>
      </c>
    </row>
    <row r="23" spans="3:8" ht="58.25" customHeight="1" x14ac:dyDescent="0.65">
      <c r="C23" s="18"/>
    </row>
    <row r="24" spans="3:8" ht="56" customHeight="1" x14ac:dyDescent="0.65">
      <c r="C24" s="18" t="s">
        <v>39</v>
      </c>
      <c r="D24" s="14" t="s">
        <v>75</v>
      </c>
      <c r="F24" s="14" t="s">
        <v>40</v>
      </c>
      <c r="G24" s="14" t="s">
        <v>66</v>
      </c>
      <c r="H24" s="14" t="s">
        <v>57</v>
      </c>
    </row>
    <row r="25" spans="3:8" ht="50.75" customHeight="1" x14ac:dyDescent="0.65">
      <c r="C25" s="18"/>
      <c r="H25" s="14" t="s">
        <v>61</v>
      </c>
    </row>
    <row r="26" spans="3:8" ht="47.75" customHeight="1" x14ac:dyDescent="0.65">
      <c r="C26" s="19"/>
    </row>
    <row r="27" spans="3:8" ht="4.5" customHeight="1" x14ac:dyDescent="0.65">
      <c r="C27" s="19"/>
      <c r="G27" s="19"/>
    </row>
    <row r="28" spans="3:8" ht="58.25" customHeight="1" x14ac:dyDescent="0.65">
      <c r="C28" s="18"/>
      <c r="G28"/>
      <c r="H28"/>
    </row>
    <row r="29" spans="3:8" ht="56" customHeight="1" x14ac:dyDescent="0.65">
      <c r="C29" s="18" t="s">
        <v>41</v>
      </c>
      <c r="D29" s="14" t="s">
        <v>76</v>
      </c>
      <c r="F29" s="14" t="s">
        <v>100</v>
      </c>
      <c r="G29"/>
      <c r="H29"/>
    </row>
    <row r="30" spans="3:8" ht="50.75" customHeight="1" x14ac:dyDescent="0.65">
      <c r="C30" s="18"/>
      <c r="G30"/>
      <c r="H30"/>
    </row>
    <row r="31" spans="3:8" ht="47.75" customHeight="1" x14ac:dyDescent="0.65">
      <c r="C31" s="19"/>
      <c r="G31"/>
      <c r="H31"/>
    </row>
    <row r="32" spans="3:8" ht="4.5" customHeight="1" x14ac:dyDescent="0.65">
      <c r="C32" s="19"/>
      <c r="G32" s="19"/>
    </row>
    <row r="33" spans="3:8" ht="58.25" customHeight="1" x14ac:dyDescent="0.65">
      <c r="C33" s="18"/>
    </row>
    <row r="34" spans="3:8" ht="56" customHeight="1" x14ac:dyDescent="0.65">
      <c r="C34" s="18" t="s">
        <v>42</v>
      </c>
      <c r="D34" s="14" t="s">
        <v>77</v>
      </c>
      <c r="F34" s="14" t="s">
        <v>43</v>
      </c>
      <c r="G34" s="14" t="s">
        <v>67</v>
      </c>
      <c r="H34" s="14" t="s">
        <v>57</v>
      </c>
    </row>
    <row r="35" spans="3:8" ht="50.75" customHeight="1" x14ac:dyDescent="0.65">
      <c r="C35" s="18"/>
      <c r="H35" s="14" t="s">
        <v>61</v>
      </c>
    </row>
    <row r="36" spans="3:8" ht="47.75" customHeight="1" x14ac:dyDescent="0.65">
      <c r="C36" s="19"/>
    </row>
    <row r="37" spans="3:8" ht="4.5" customHeight="1" x14ac:dyDescent="0.65">
      <c r="C37" s="19"/>
      <c r="G37" s="19"/>
    </row>
    <row r="38" spans="3:8" ht="58.25" customHeight="1" x14ac:dyDescent="0.65">
      <c r="C38" s="18"/>
    </row>
    <row r="39" spans="3:8" ht="56" customHeight="1" x14ac:dyDescent="0.65">
      <c r="C39" s="18" t="s">
        <v>44</v>
      </c>
      <c r="D39" s="14" t="s">
        <v>78</v>
      </c>
      <c r="F39" s="14" t="s">
        <v>45</v>
      </c>
      <c r="G39" s="14" t="s">
        <v>68</v>
      </c>
      <c r="H39" s="14" t="s">
        <v>57</v>
      </c>
    </row>
    <row r="40" spans="3:8" ht="50.75" customHeight="1" x14ac:dyDescent="0.65">
      <c r="C40" s="18"/>
      <c r="H40" s="14" t="s">
        <v>61</v>
      </c>
    </row>
    <row r="41" spans="3:8" ht="47.75" customHeight="1" x14ac:dyDescent="0.65">
      <c r="C41" s="19"/>
    </row>
    <row r="42" spans="3:8" ht="4.5" customHeight="1" x14ac:dyDescent="0.65">
      <c r="C42" s="19"/>
      <c r="G42" s="19"/>
    </row>
    <row r="43" spans="3:8" ht="58.25" customHeight="1" x14ac:dyDescent="0.65">
      <c r="C43" s="18"/>
      <c r="H43" s="14" t="s">
        <v>57</v>
      </c>
    </row>
    <row r="44" spans="3:8" ht="56" customHeight="1" x14ac:dyDescent="0.65">
      <c r="C44" s="18" t="s">
        <v>46</v>
      </c>
      <c r="D44" s="14" t="s">
        <v>79</v>
      </c>
      <c r="F44" s="14" t="s">
        <v>47</v>
      </c>
      <c r="G44" s="14" t="s">
        <v>69</v>
      </c>
      <c r="H44" s="14" t="s">
        <v>61</v>
      </c>
    </row>
    <row r="45" spans="3:8" ht="50.75" customHeight="1" x14ac:dyDescent="0.65">
      <c r="C45" s="18"/>
    </row>
    <row r="46" spans="3:8" ht="47.75" customHeight="1" x14ac:dyDescent="0.65">
      <c r="C46" s="19"/>
    </row>
    <row r="47" spans="3:8" ht="4.5" customHeight="1" x14ac:dyDescent="0.65">
      <c r="C47" s="19"/>
      <c r="G47" s="19"/>
    </row>
    <row r="48" spans="3:8" ht="58.25" customHeight="1" x14ac:dyDescent="0.65">
      <c r="C48" s="18"/>
      <c r="H48" s="14" t="s">
        <v>57</v>
      </c>
    </row>
    <row r="49" spans="3:8" ht="56" customHeight="1" x14ac:dyDescent="0.65">
      <c r="C49" s="18" t="s">
        <v>48</v>
      </c>
      <c r="D49" s="14" t="s">
        <v>80</v>
      </c>
      <c r="F49" s="14" t="s">
        <v>49</v>
      </c>
      <c r="G49" s="14" t="s">
        <v>70</v>
      </c>
      <c r="H49"/>
    </row>
    <row r="50" spans="3:8" ht="50.75" customHeight="1" x14ac:dyDescent="0.65">
      <c r="C50" s="18"/>
      <c r="H50"/>
    </row>
    <row r="51" spans="3:8" ht="47.75" customHeight="1" x14ac:dyDescent="0.65">
      <c r="C51" s="19"/>
      <c r="H51"/>
    </row>
    <row r="52" spans="3:8" ht="4.5" customHeight="1" x14ac:dyDescent="0.65">
      <c r="C52" s="19"/>
      <c r="G52" s="19"/>
      <c r="H52"/>
    </row>
    <row r="53" spans="3:8" ht="58.25" customHeight="1" x14ac:dyDescent="0.65">
      <c r="C53" s="18"/>
      <c r="H53" s="14" t="s">
        <v>61</v>
      </c>
    </row>
    <row r="54" spans="3:8" ht="56" customHeight="1" x14ac:dyDescent="0.65">
      <c r="C54" s="18" t="s">
        <v>50</v>
      </c>
      <c r="D54" s="14" t="s">
        <v>81</v>
      </c>
      <c r="F54" s="14" t="s">
        <v>51</v>
      </c>
      <c r="G54" s="14" t="s">
        <v>71</v>
      </c>
    </row>
    <row r="55" spans="3:8" ht="50.75" customHeight="1" x14ac:dyDescent="0.65">
      <c r="C55" s="18"/>
      <c r="F55" s="14" t="s">
        <v>61</v>
      </c>
      <c r="H55" s="14" t="s">
        <v>61</v>
      </c>
    </row>
    <row r="56" spans="3:8" ht="47.75" customHeight="1" x14ac:dyDescent="0.65">
      <c r="C56" s="19"/>
    </row>
    <row r="57" spans="3:8" ht="4.5" customHeight="1" x14ac:dyDescent="0.65">
      <c r="C57" s="19"/>
      <c r="G57"/>
      <c r="H57" s="14" t="s">
        <v>57</v>
      </c>
    </row>
    <row r="58" spans="3:8" ht="58.25" customHeight="1" x14ac:dyDescent="0.65">
      <c r="C58" s="18"/>
      <c r="G58"/>
      <c r="H58"/>
    </row>
    <row r="59" spans="3:8" ht="56" customHeight="1" x14ac:dyDescent="0.65">
      <c r="C59" s="18" t="s">
        <v>52</v>
      </c>
      <c r="D59" s="14" t="s">
        <v>82</v>
      </c>
      <c r="F59" s="14" t="s">
        <v>92</v>
      </c>
      <c r="G59" t="s">
        <v>72</v>
      </c>
      <c r="H59"/>
    </row>
    <row r="60" spans="3:8" ht="50.75" customHeight="1" x14ac:dyDescent="0.65">
      <c r="C60" s="18"/>
      <c r="G60"/>
      <c r="H60"/>
    </row>
    <row r="61" spans="3:8" ht="47.75" customHeight="1" x14ac:dyDescent="0.65">
      <c r="C61" s="19"/>
      <c r="G61"/>
      <c r="H61"/>
    </row>
    <row r="62" spans="3:8" ht="4.5" customHeight="1" x14ac:dyDescent="0.65">
      <c r="C62" s="19"/>
      <c r="G62" s="19"/>
    </row>
    <row r="63" spans="3:8" ht="58.25" customHeight="1" x14ac:dyDescent="0.65">
      <c r="C63" s="18"/>
    </row>
    <row r="64" spans="3:8" ht="56" customHeight="1" x14ac:dyDescent="0.65">
      <c r="C64" s="18" t="s">
        <v>90</v>
      </c>
      <c r="D64" s="14" t="s">
        <v>82</v>
      </c>
      <c r="F64" s="14" t="s">
        <v>91</v>
      </c>
      <c r="G64" s="14" t="s">
        <v>72</v>
      </c>
      <c r="H64"/>
    </row>
    <row r="65" spans="3:7" ht="50.75" customHeight="1" x14ac:dyDescent="0.65">
      <c r="C65" s="18"/>
    </row>
    <row r="66" spans="3:7" ht="47.75" customHeight="1" x14ac:dyDescent="0.65">
      <c r="C66" s="19"/>
    </row>
    <row r="67" spans="3:7" ht="4.5" customHeight="1" x14ac:dyDescent="0.65">
      <c r="C67" s="19"/>
      <c r="F67" s="14" t="s">
        <v>91</v>
      </c>
      <c r="G67" s="19"/>
    </row>
    <row r="68" spans="3:7" ht="58.25" customHeight="1" x14ac:dyDescent="0.65">
      <c r="C68" s="18"/>
    </row>
    <row r="69" spans="3:7" ht="56" customHeight="1" x14ac:dyDescent="0.65">
      <c r="C69" s="18" t="s">
        <v>94</v>
      </c>
      <c r="D69" s="14" t="s">
        <v>82</v>
      </c>
      <c r="F69" s="14" t="s">
        <v>93</v>
      </c>
    </row>
    <row r="70" spans="3:7" ht="50.75" customHeight="1" x14ac:dyDescent="0.65">
      <c r="C70" s="18"/>
    </row>
    <row r="71" spans="3:7" ht="47.75" customHeight="1" x14ac:dyDescent="0.65">
      <c r="C71" s="19"/>
    </row>
    <row r="72" spans="3:7" ht="159" customHeight="1" x14ac:dyDescent="0.65">
      <c r="F72" s="19"/>
    </row>
    <row r="73" spans="3:7" ht="159" customHeight="1" x14ac:dyDescent="0.65">
      <c r="C73" s="19"/>
      <c r="G73" s="19"/>
    </row>
    <row r="74" spans="3:7" ht="159" customHeight="1" x14ac:dyDescent="0.65">
      <c r="C74" s="19"/>
      <c r="G74" s="19"/>
    </row>
    <row r="75" spans="3:7" ht="152.25" customHeight="1" x14ac:dyDescent="0.65">
      <c r="C75" s="19"/>
      <c r="G75"/>
    </row>
    <row r="76" spans="3:7" ht="152.25" customHeight="1" x14ac:dyDescent="0.65">
      <c r="C76" s="19"/>
      <c r="G76" s="19"/>
    </row>
    <row r="77" spans="3:7" ht="152.25" customHeight="1" x14ac:dyDescent="0.65">
      <c r="C77" s="19"/>
      <c r="G77" s="19"/>
    </row>
    <row r="78" spans="3:7" ht="152.25" customHeight="1" x14ac:dyDescent="0.65">
      <c r="C78" s="19"/>
      <c r="G78" s="19"/>
    </row>
    <row r="79" spans="3:7" ht="152.25" customHeight="1" x14ac:dyDescent="0.65">
      <c r="C79" s="19"/>
      <c r="G79" s="19"/>
    </row>
    <row r="80" spans="3:7" ht="152.25" customHeight="1" x14ac:dyDescent="0.65">
      <c r="C80" s="19"/>
      <c r="G80" s="19"/>
    </row>
    <row r="81" spans="3:7" ht="152.25" customHeight="1" x14ac:dyDescent="0.65">
      <c r="C81" s="19"/>
      <c r="G81" s="19"/>
    </row>
    <row r="82" spans="3:7" ht="152.25" customHeight="1" x14ac:dyDescent="0.65">
      <c r="C82" s="19"/>
      <c r="G82" s="19"/>
    </row>
    <row r="83" spans="3:7" ht="152.25" customHeight="1" x14ac:dyDescent="0.65">
      <c r="C83" s="19"/>
      <c r="G83" s="19"/>
    </row>
    <row r="84" spans="3:7" ht="152.25" customHeight="1" x14ac:dyDescent="0.65">
      <c r="C84" s="19"/>
      <c r="G84" s="19"/>
    </row>
    <row r="85" spans="3:7" ht="152.25" customHeight="1" x14ac:dyDescent="0.65">
      <c r="C85" s="19"/>
      <c r="G85" s="19"/>
    </row>
    <row r="86" spans="3:7" ht="152.25" customHeight="1" x14ac:dyDescent="0.65">
      <c r="C86" s="19"/>
      <c r="G86" s="19"/>
    </row>
    <row r="87" spans="3:7" ht="152.25" customHeight="1" x14ac:dyDescent="0.65">
      <c r="C87" s="19"/>
      <c r="G87" s="19"/>
    </row>
    <row r="88" spans="3:7" ht="152.25" customHeight="1" x14ac:dyDescent="0.65">
      <c r="C88" s="19"/>
      <c r="G88" s="19"/>
    </row>
    <row r="89" spans="3:7" ht="152.25" customHeight="1" x14ac:dyDescent="0.65">
      <c r="C89" s="19"/>
      <c r="G89" s="19"/>
    </row>
    <row r="90" spans="3:7" ht="152.25" customHeight="1" x14ac:dyDescent="0.65">
      <c r="C90" s="19"/>
      <c r="G90" s="19"/>
    </row>
    <row r="91" spans="3:7" ht="152.25" customHeight="1" x14ac:dyDescent="0.65">
      <c r="C91" s="19"/>
      <c r="G91" s="19"/>
    </row>
    <row r="92" spans="3:7" ht="152.25" customHeight="1" x14ac:dyDescent="0.65">
      <c r="C92" s="19"/>
      <c r="G92" s="19"/>
    </row>
    <row r="93" spans="3:7" ht="152.25" customHeight="1" x14ac:dyDescent="0.65">
      <c r="C93" s="19"/>
      <c r="G93" s="19"/>
    </row>
    <row r="94" spans="3:7" ht="152.25" customHeight="1" x14ac:dyDescent="0.65">
      <c r="C94" s="19"/>
      <c r="G94" s="19"/>
    </row>
    <row r="95" spans="3:7" ht="152.25" customHeight="1" x14ac:dyDescent="0.65">
      <c r="C95" s="19"/>
      <c r="G95" s="19"/>
    </row>
    <row r="96" spans="3:7" ht="152.25" customHeight="1" x14ac:dyDescent="0.65">
      <c r="C96" s="19"/>
      <c r="G96" s="19"/>
    </row>
    <row r="97" spans="3:7" ht="152.25" customHeight="1" x14ac:dyDescent="0.65">
      <c r="C97" s="19"/>
      <c r="G97" s="19"/>
    </row>
    <row r="98" spans="3:7" ht="152.25" customHeight="1" x14ac:dyDescent="0.65">
      <c r="C98" s="19"/>
      <c r="G98" s="19"/>
    </row>
    <row r="99" spans="3:7" ht="152.25" customHeight="1" x14ac:dyDescent="0.65">
      <c r="C99" s="19"/>
      <c r="G99" s="19"/>
    </row>
    <row r="100" spans="3:7" ht="152.25" customHeight="1" x14ac:dyDescent="0.65">
      <c r="C100" s="19"/>
      <c r="G100" s="19"/>
    </row>
    <row r="101" spans="3:7" ht="152.25" customHeight="1" x14ac:dyDescent="0.65">
      <c r="C101" s="19"/>
      <c r="G101" s="19"/>
    </row>
    <row r="102" spans="3:7" ht="152.25" customHeight="1" x14ac:dyDescent="0.65">
      <c r="C102" s="19"/>
      <c r="G102" s="19"/>
    </row>
    <row r="103" spans="3:7" ht="152.25" customHeight="1" x14ac:dyDescent="0.65">
      <c r="C103" s="19"/>
      <c r="G103" s="19"/>
    </row>
    <row r="104" spans="3:7" ht="152.25" customHeight="1" x14ac:dyDescent="0.65">
      <c r="C104" s="19"/>
      <c r="G104" s="19"/>
    </row>
    <row r="105" spans="3:7" ht="152.25" customHeight="1" x14ac:dyDescent="0.65">
      <c r="C105" s="19"/>
      <c r="G105" s="19"/>
    </row>
  </sheetData>
  <printOptions horizontalCentered="1"/>
  <pageMargins left="0.7" right="0.7" top="0.75" bottom="0.75" header="0.3" footer="0.3"/>
  <pageSetup scale="64" fitToHeight="3" orientation="portrait" r:id="rId1"/>
  <headerFooter>
    <oddHeader>&amp;L&amp;14Juror Profiles &amp;R&amp;14 #### Case Name</oddHeader>
    <oddFooter>&amp;C&amp;G</oddFooter>
  </headerFooter>
  <rowBreaks count="3" manualBreakCount="3">
    <brk id="21" min="2" max="6" man="1"/>
    <brk id="41" min="2" max="6" man="1"/>
    <brk id="61" min="2" max="6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namePicturesBasedOnLocation">
                <anchor moveWithCells="1" sizeWithCells="1">
                  <from>
                    <xdr:col>9</xdr:col>
                    <xdr:colOff>23813</xdr:colOff>
                    <xdr:row>0</xdr:row>
                    <xdr:rowOff>100013</xdr:rowOff>
                  </from>
                  <to>
                    <xdr:col>11</xdr:col>
                    <xdr:colOff>90488</xdr:colOff>
                    <xdr:row>0</xdr:row>
                    <xdr:rowOff>557213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enterMatchingObjects">
                <anchor moveWithCells="1" sizeWithCells="1">
                  <from>
                    <xdr:col>9</xdr:col>
                    <xdr:colOff>23813</xdr:colOff>
                    <xdr:row>0</xdr:row>
                    <xdr:rowOff>671513</xdr:rowOff>
                  </from>
                  <to>
                    <xdr:col>11</xdr:col>
                    <xdr:colOff>76200</xdr:colOff>
                    <xdr:row>1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izeJPGImages">
                <anchor moveWithCells="1" sizeWithCells="1">
                  <from>
                    <xdr:col>9</xdr:col>
                    <xdr:colOff>23813</xdr:colOff>
                    <xdr:row>1</xdr:row>
                    <xdr:rowOff>166688</xdr:rowOff>
                  </from>
                  <to>
                    <xdr:col>11</xdr:col>
                    <xdr:colOff>90488</xdr:colOff>
                    <xdr:row>2</xdr:row>
                    <xdr:rowOff>223838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endAllPicturesToBack">
                <anchor moveWithCells="1" sizeWithCells="1">
                  <from>
                    <xdr:col>9</xdr:col>
                    <xdr:colOff>38100</xdr:colOff>
                    <xdr:row>2</xdr:row>
                    <xdr:rowOff>338138</xdr:rowOff>
                  </from>
                  <to>
                    <xdr:col>11</xdr:col>
                    <xdr:colOff>100013</xdr:colOff>
                    <xdr:row>3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2C339-AAF7-4FC9-967C-C59A254C5AF1}">
  <sheetPr codeName="Sheet4"/>
  <dimension ref="A1"/>
  <sheetViews>
    <sheetView topLeftCell="A118" zoomScale="84" zoomScaleNormal="84" workbookViewId="0">
      <selection activeCell="R17" sqref="R17"/>
    </sheetView>
  </sheetViews>
  <sheetFormatPr defaultRowHeight="18.75" x14ac:dyDescent="0.6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39F43-A0D4-4C59-AEDC-77AFB71C9DB1}">
  <sheetPr codeName="Sheet3"/>
  <dimension ref="A1"/>
  <sheetViews>
    <sheetView workbookViewId="0">
      <selection activeCell="C18" sqref="C18"/>
    </sheetView>
  </sheetViews>
  <sheetFormatPr defaultRowHeight="18.75" x14ac:dyDescent="0.6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5F66-BDBA-4457-9DBA-8AEABB6990FE}">
  <sheetPr codeName="Sheet5"/>
  <dimension ref="A1:M202"/>
  <sheetViews>
    <sheetView tabSelected="1" workbookViewId="0"/>
  </sheetViews>
  <sheetFormatPr defaultRowHeight="18.75" x14ac:dyDescent="0.65"/>
  <cols>
    <col min="1" max="1" width="14.59765625" bestFit="1" customWidth="1"/>
    <col min="2" max="2" width="18.84765625" bestFit="1" customWidth="1"/>
    <col min="3" max="3" width="4.44921875" bestFit="1" customWidth="1"/>
    <col min="4" max="4" width="19.09765625" bestFit="1" customWidth="1"/>
    <col min="5" max="5" width="10.34765625" bestFit="1" customWidth="1"/>
    <col min="6" max="9" width="11.6484375" bestFit="1" customWidth="1"/>
    <col min="10" max="10" width="9.94921875" bestFit="1" customWidth="1"/>
    <col min="11" max="11" width="5.59765625" bestFit="1" customWidth="1"/>
    <col min="12" max="12" width="9.8984375" bestFit="1" customWidth="1"/>
    <col min="13" max="13" width="51.75" bestFit="1" customWidth="1"/>
  </cols>
  <sheetData>
    <row r="1" spans="1:13" x14ac:dyDescent="0.65">
      <c r="A1" t="s">
        <v>101</v>
      </c>
      <c r="B1" t="s">
        <v>2</v>
      </c>
      <c r="C1" t="s">
        <v>102</v>
      </c>
      <c r="D1" t="s">
        <v>103</v>
      </c>
      <c r="E1" t="s">
        <v>104</v>
      </c>
      <c r="F1" t="s">
        <v>105</v>
      </c>
      <c r="G1" t="s">
        <v>106</v>
      </c>
      <c r="H1" t="s">
        <v>107</v>
      </c>
      <c r="I1" t="s">
        <v>108</v>
      </c>
      <c r="J1" t="s">
        <v>109</v>
      </c>
      <c r="K1" t="s">
        <v>110</v>
      </c>
      <c r="L1" t="s">
        <v>111</v>
      </c>
      <c r="M1" t="s">
        <v>112</v>
      </c>
    </row>
    <row r="2" spans="1:13" x14ac:dyDescent="0.65">
      <c r="A2" t="s">
        <v>113</v>
      </c>
      <c r="B2" t="s">
        <v>114</v>
      </c>
      <c r="C2">
        <v>8</v>
      </c>
      <c r="D2" s="26" t="s">
        <v>115</v>
      </c>
      <c r="E2" s="26" t="s">
        <v>115</v>
      </c>
      <c r="F2">
        <v>575.20001220703125</v>
      </c>
      <c r="G2">
        <v>124.90000152587891</v>
      </c>
      <c r="H2">
        <v>95.800003051757813</v>
      </c>
      <c r="I2">
        <v>36.799999237060547</v>
      </c>
      <c r="J2" t="s">
        <v>116</v>
      </c>
      <c r="K2">
        <v>-1</v>
      </c>
      <c r="M2" s="26" t="s">
        <v>117</v>
      </c>
    </row>
    <row r="3" spans="1:13" x14ac:dyDescent="0.65">
      <c r="A3" t="s">
        <v>113</v>
      </c>
      <c r="B3" t="s">
        <v>118</v>
      </c>
      <c r="C3">
        <v>8</v>
      </c>
      <c r="D3" s="26" t="s">
        <v>115</v>
      </c>
      <c r="E3" s="26" t="s">
        <v>115</v>
      </c>
      <c r="F3">
        <v>575.20001220703125</v>
      </c>
      <c r="G3">
        <v>229.69999694824219</v>
      </c>
      <c r="H3">
        <v>87</v>
      </c>
      <c r="I3">
        <v>33.799999237060547</v>
      </c>
      <c r="J3" t="s">
        <v>119</v>
      </c>
      <c r="K3">
        <v>-1</v>
      </c>
      <c r="M3" s="26" t="s">
        <v>120</v>
      </c>
    </row>
    <row r="4" spans="1:13" x14ac:dyDescent="0.65">
      <c r="A4" t="s">
        <v>113</v>
      </c>
      <c r="B4" t="s">
        <v>121</v>
      </c>
      <c r="C4">
        <v>8</v>
      </c>
      <c r="D4" s="26" t="s">
        <v>115</v>
      </c>
      <c r="E4" s="26" t="s">
        <v>115</v>
      </c>
      <c r="F4">
        <v>575.20001220703125</v>
      </c>
      <c r="G4">
        <v>421.89999389648438</v>
      </c>
      <c r="H4">
        <v>84.900001525878906</v>
      </c>
      <c r="I4">
        <v>33.799999237060547</v>
      </c>
      <c r="J4" t="s">
        <v>122</v>
      </c>
      <c r="K4">
        <v>-1</v>
      </c>
      <c r="M4" s="26" t="s">
        <v>123</v>
      </c>
    </row>
    <row r="5" spans="1:13" x14ac:dyDescent="0.65">
      <c r="A5" t="s">
        <v>113</v>
      </c>
      <c r="B5" t="s">
        <v>124</v>
      </c>
      <c r="C5">
        <v>8</v>
      </c>
      <c r="D5" s="26" t="s">
        <v>115</v>
      </c>
      <c r="E5" s="26" t="s">
        <v>115</v>
      </c>
      <c r="F5">
        <v>575.20001220703125</v>
      </c>
      <c r="G5">
        <v>325.5</v>
      </c>
      <c r="H5">
        <v>87</v>
      </c>
      <c r="I5">
        <v>33.799999237060547</v>
      </c>
      <c r="J5" t="s">
        <v>125</v>
      </c>
      <c r="K5">
        <v>-1</v>
      </c>
      <c r="M5" s="26" t="s">
        <v>126</v>
      </c>
    </row>
    <row r="6" spans="1:13" x14ac:dyDescent="0.65">
      <c r="A6" t="s">
        <v>113</v>
      </c>
      <c r="B6" t="s">
        <v>127</v>
      </c>
      <c r="C6">
        <v>8</v>
      </c>
      <c r="D6" s="26" t="s">
        <v>115</v>
      </c>
      <c r="E6" s="26" t="s">
        <v>115</v>
      </c>
      <c r="F6">
        <v>575.20001220703125</v>
      </c>
      <c r="G6">
        <v>516.9000244140625</v>
      </c>
      <c r="H6">
        <v>86.800003051757813</v>
      </c>
      <c r="I6">
        <v>33.799999237060547</v>
      </c>
      <c r="J6" t="s">
        <v>128</v>
      </c>
      <c r="K6">
        <v>-1</v>
      </c>
      <c r="M6" s="26" t="s">
        <v>129</v>
      </c>
    </row>
    <row r="7" spans="1:13" x14ac:dyDescent="0.65">
      <c r="A7" t="s">
        <v>113</v>
      </c>
      <c r="B7" t="s">
        <v>130</v>
      </c>
      <c r="C7">
        <v>8</v>
      </c>
      <c r="D7" s="26" t="s">
        <v>115</v>
      </c>
      <c r="E7" s="26" t="s">
        <v>115</v>
      </c>
      <c r="F7">
        <v>575.20001220703125</v>
      </c>
      <c r="G7">
        <v>612.79998779296875</v>
      </c>
      <c r="H7">
        <v>87</v>
      </c>
      <c r="I7">
        <v>33.799999237060547</v>
      </c>
      <c r="J7" t="s">
        <v>131</v>
      </c>
      <c r="K7">
        <v>-1</v>
      </c>
      <c r="M7" s="26" t="s">
        <v>132</v>
      </c>
    </row>
    <row r="8" spans="1:13" x14ac:dyDescent="0.65">
      <c r="A8" t="s">
        <v>113</v>
      </c>
      <c r="B8" t="s">
        <v>133</v>
      </c>
      <c r="C8">
        <v>8</v>
      </c>
      <c r="D8" s="26" t="s">
        <v>115</v>
      </c>
      <c r="E8" s="26" t="s">
        <v>115</v>
      </c>
      <c r="F8">
        <v>575.20001220703125</v>
      </c>
      <c r="G8">
        <v>708.79998779296875</v>
      </c>
      <c r="H8">
        <v>87</v>
      </c>
      <c r="I8">
        <v>33.799999237060547</v>
      </c>
      <c r="J8" t="s">
        <v>134</v>
      </c>
      <c r="K8">
        <v>-1</v>
      </c>
      <c r="M8" s="26" t="s">
        <v>135</v>
      </c>
    </row>
    <row r="9" spans="1:13" x14ac:dyDescent="0.65">
      <c r="A9" t="s">
        <v>136</v>
      </c>
      <c r="B9" t="s">
        <v>94</v>
      </c>
      <c r="C9">
        <v>13</v>
      </c>
      <c r="D9" s="26" t="s">
        <v>115</v>
      </c>
      <c r="E9" s="26" t="s">
        <v>115</v>
      </c>
      <c r="F9">
        <v>2947.60009765625</v>
      </c>
      <c r="G9">
        <v>137.19999694824219</v>
      </c>
      <c r="H9">
        <v>134.60000610351563</v>
      </c>
      <c r="I9">
        <v>150.60000610351563</v>
      </c>
      <c r="J9" t="s">
        <v>137</v>
      </c>
      <c r="K9">
        <v>-1</v>
      </c>
    </row>
    <row r="10" spans="1:13" x14ac:dyDescent="0.65">
      <c r="A10" t="s">
        <v>136</v>
      </c>
      <c r="B10" t="s">
        <v>91</v>
      </c>
      <c r="C10">
        <v>13</v>
      </c>
      <c r="D10" s="26" t="s">
        <v>115</v>
      </c>
      <c r="E10" s="26" t="s">
        <v>115</v>
      </c>
      <c r="F10">
        <v>2730.60009765625</v>
      </c>
      <c r="G10">
        <v>512.20001220703125</v>
      </c>
      <c r="H10">
        <v>134.60000610351563</v>
      </c>
      <c r="I10">
        <v>150.60000610351563</v>
      </c>
      <c r="J10" t="s">
        <v>138</v>
      </c>
      <c r="K10">
        <v>-1</v>
      </c>
    </row>
    <row r="11" spans="1:13" x14ac:dyDescent="0.65">
      <c r="A11" t="s">
        <v>136</v>
      </c>
      <c r="B11" t="s">
        <v>90</v>
      </c>
      <c r="C11">
        <v>13</v>
      </c>
      <c r="D11" s="26" t="s">
        <v>115</v>
      </c>
      <c r="E11" s="26" t="s">
        <v>115</v>
      </c>
      <c r="F11">
        <v>2730.60009765625</v>
      </c>
      <c r="G11">
        <v>137.19999694824219</v>
      </c>
      <c r="H11">
        <v>134.60000610351563</v>
      </c>
      <c r="I11">
        <v>150.60000610351563</v>
      </c>
      <c r="J11" t="s">
        <v>139</v>
      </c>
      <c r="K11">
        <v>-1</v>
      </c>
    </row>
    <row r="12" spans="1:13" x14ac:dyDescent="0.65">
      <c r="A12" t="s">
        <v>136</v>
      </c>
      <c r="B12" t="s">
        <v>92</v>
      </c>
      <c r="C12">
        <v>13</v>
      </c>
      <c r="D12" s="26" t="s">
        <v>115</v>
      </c>
      <c r="E12" s="26" t="s">
        <v>115</v>
      </c>
      <c r="F12">
        <v>2513.699951171875</v>
      </c>
      <c r="G12">
        <v>512.20001220703125</v>
      </c>
      <c r="H12">
        <v>134.60000610351563</v>
      </c>
      <c r="I12">
        <v>150.60000610351563</v>
      </c>
      <c r="J12" t="s">
        <v>140</v>
      </c>
      <c r="K12">
        <v>-1</v>
      </c>
    </row>
    <row r="13" spans="1:13" x14ac:dyDescent="0.65">
      <c r="A13" t="s">
        <v>136</v>
      </c>
      <c r="B13" t="s">
        <v>52</v>
      </c>
      <c r="C13">
        <v>13</v>
      </c>
      <c r="D13" s="26" t="s">
        <v>115</v>
      </c>
      <c r="E13" s="26" t="s">
        <v>115</v>
      </c>
      <c r="F13">
        <v>2513.699951171875</v>
      </c>
      <c r="G13">
        <v>137.19999694824219</v>
      </c>
      <c r="H13">
        <v>134.60000610351563</v>
      </c>
      <c r="I13">
        <v>150.60000610351563</v>
      </c>
      <c r="J13" t="s">
        <v>141</v>
      </c>
      <c r="K13">
        <v>-1</v>
      </c>
    </row>
    <row r="14" spans="1:13" x14ac:dyDescent="0.65">
      <c r="A14" t="s">
        <v>136</v>
      </c>
      <c r="B14" t="s">
        <v>51</v>
      </c>
      <c r="C14">
        <v>13</v>
      </c>
      <c r="D14" s="26" t="s">
        <v>115</v>
      </c>
      <c r="E14" s="26" t="s">
        <v>115</v>
      </c>
      <c r="F14">
        <v>2296.699951171875</v>
      </c>
      <c r="G14">
        <v>512.20001220703125</v>
      </c>
      <c r="H14">
        <v>134.60000610351563</v>
      </c>
      <c r="I14">
        <v>150.60000610351563</v>
      </c>
      <c r="J14" t="s">
        <v>142</v>
      </c>
      <c r="K14">
        <v>-1</v>
      </c>
    </row>
    <row r="15" spans="1:13" x14ac:dyDescent="0.65">
      <c r="A15" t="s">
        <v>136</v>
      </c>
      <c r="B15" t="s">
        <v>50</v>
      </c>
      <c r="C15">
        <v>13</v>
      </c>
      <c r="D15" s="26" t="s">
        <v>115</v>
      </c>
      <c r="E15" s="26" t="s">
        <v>115</v>
      </c>
      <c r="F15">
        <v>2296.699951171875</v>
      </c>
      <c r="G15">
        <v>137.19999694824219</v>
      </c>
      <c r="H15">
        <v>134.60000610351563</v>
      </c>
      <c r="I15">
        <v>150.60000610351563</v>
      </c>
      <c r="J15" t="s">
        <v>143</v>
      </c>
      <c r="K15">
        <v>-1</v>
      </c>
    </row>
    <row r="16" spans="1:13" x14ac:dyDescent="0.65">
      <c r="A16" t="s">
        <v>136</v>
      </c>
      <c r="B16" t="s">
        <v>49</v>
      </c>
      <c r="C16">
        <v>13</v>
      </c>
      <c r="D16" s="26" t="s">
        <v>115</v>
      </c>
      <c r="E16" s="26" t="s">
        <v>115</v>
      </c>
      <c r="F16">
        <v>2079.699951171875</v>
      </c>
      <c r="G16">
        <v>512.20001220703125</v>
      </c>
      <c r="H16">
        <v>134.60000610351563</v>
      </c>
      <c r="I16">
        <v>150.60000610351563</v>
      </c>
      <c r="J16" t="s">
        <v>144</v>
      </c>
      <c r="K16">
        <v>-1</v>
      </c>
    </row>
    <row r="17" spans="1:11" x14ac:dyDescent="0.65">
      <c r="A17" t="s">
        <v>136</v>
      </c>
      <c r="B17" t="s">
        <v>48</v>
      </c>
      <c r="C17">
        <v>13</v>
      </c>
      <c r="D17" s="26" t="s">
        <v>115</v>
      </c>
      <c r="E17" s="26" t="s">
        <v>115</v>
      </c>
      <c r="F17">
        <v>2079.699951171875</v>
      </c>
      <c r="G17">
        <v>137.19999694824219</v>
      </c>
      <c r="H17">
        <v>134.60000610351563</v>
      </c>
      <c r="I17">
        <v>150.60000610351563</v>
      </c>
      <c r="J17" t="s">
        <v>145</v>
      </c>
      <c r="K17">
        <v>-1</v>
      </c>
    </row>
    <row r="18" spans="1:11" x14ac:dyDescent="0.65">
      <c r="A18" t="s">
        <v>136</v>
      </c>
      <c r="B18" t="s">
        <v>47</v>
      </c>
      <c r="C18">
        <v>13</v>
      </c>
      <c r="D18" s="26" t="s">
        <v>115</v>
      </c>
      <c r="E18" s="26" t="s">
        <v>115</v>
      </c>
      <c r="F18">
        <v>1862.800048828125</v>
      </c>
      <c r="G18">
        <v>512.20001220703125</v>
      </c>
      <c r="H18">
        <v>134.60000610351563</v>
      </c>
      <c r="I18">
        <v>150.60000610351563</v>
      </c>
      <c r="J18" t="s">
        <v>146</v>
      </c>
      <c r="K18">
        <v>-1</v>
      </c>
    </row>
    <row r="19" spans="1:11" x14ac:dyDescent="0.65">
      <c r="A19" t="s">
        <v>136</v>
      </c>
      <c r="B19" t="s">
        <v>46</v>
      </c>
      <c r="C19">
        <v>13</v>
      </c>
      <c r="D19" s="26" t="s">
        <v>115</v>
      </c>
      <c r="E19" s="26" t="s">
        <v>115</v>
      </c>
      <c r="F19">
        <v>1862.800048828125</v>
      </c>
      <c r="G19">
        <v>137.19999694824219</v>
      </c>
      <c r="H19">
        <v>134.60000610351563</v>
      </c>
      <c r="I19">
        <v>150.60000610351563</v>
      </c>
      <c r="J19" t="s">
        <v>147</v>
      </c>
      <c r="K19">
        <v>-1</v>
      </c>
    </row>
    <row r="20" spans="1:11" x14ac:dyDescent="0.65">
      <c r="A20" t="s">
        <v>136</v>
      </c>
      <c r="B20" t="s">
        <v>45</v>
      </c>
      <c r="C20">
        <v>13</v>
      </c>
      <c r="D20" s="26" t="s">
        <v>115</v>
      </c>
      <c r="E20" s="26" t="s">
        <v>115</v>
      </c>
      <c r="F20">
        <v>1645.800048828125</v>
      </c>
      <c r="G20">
        <v>512.20001220703125</v>
      </c>
      <c r="H20">
        <v>134.60000610351563</v>
      </c>
      <c r="I20">
        <v>150.60000610351563</v>
      </c>
      <c r="J20" t="s">
        <v>148</v>
      </c>
      <c r="K20">
        <v>-1</v>
      </c>
    </row>
    <row r="21" spans="1:11" x14ac:dyDescent="0.65">
      <c r="A21" t="s">
        <v>136</v>
      </c>
      <c r="B21" t="s">
        <v>44</v>
      </c>
      <c r="C21">
        <v>13</v>
      </c>
      <c r="D21" s="26" t="s">
        <v>115</v>
      </c>
      <c r="E21" s="26" t="s">
        <v>115</v>
      </c>
      <c r="F21">
        <v>1645.800048828125</v>
      </c>
      <c r="G21">
        <v>137.19999694824219</v>
      </c>
      <c r="H21">
        <v>134.60000610351563</v>
      </c>
      <c r="I21">
        <v>150.60000610351563</v>
      </c>
      <c r="J21" t="s">
        <v>149</v>
      </c>
      <c r="K21">
        <v>-1</v>
      </c>
    </row>
    <row r="22" spans="1:11" x14ac:dyDescent="0.65">
      <c r="A22" t="s">
        <v>136</v>
      </c>
      <c r="B22" t="s">
        <v>43</v>
      </c>
      <c r="C22">
        <v>13</v>
      </c>
      <c r="D22" s="26" t="s">
        <v>115</v>
      </c>
      <c r="E22" s="26" t="s">
        <v>115</v>
      </c>
      <c r="F22">
        <v>1428.9000244140625</v>
      </c>
      <c r="G22">
        <v>512.20001220703125</v>
      </c>
      <c r="H22">
        <v>134.60000610351563</v>
      </c>
      <c r="I22">
        <v>150.60000610351563</v>
      </c>
      <c r="J22" t="s">
        <v>150</v>
      </c>
      <c r="K22">
        <v>-1</v>
      </c>
    </row>
    <row r="23" spans="1:11" x14ac:dyDescent="0.65">
      <c r="A23" t="s">
        <v>136</v>
      </c>
      <c r="B23" t="s">
        <v>42</v>
      </c>
      <c r="C23">
        <v>13</v>
      </c>
      <c r="D23" s="26" t="s">
        <v>115</v>
      </c>
      <c r="E23" s="26" t="s">
        <v>115</v>
      </c>
      <c r="F23">
        <v>1428.9000244140625</v>
      </c>
      <c r="G23">
        <v>137.19999694824219</v>
      </c>
      <c r="H23">
        <v>134.60000610351563</v>
      </c>
      <c r="I23">
        <v>150.60000610351563</v>
      </c>
      <c r="J23" t="s">
        <v>151</v>
      </c>
      <c r="K23">
        <v>-1</v>
      </c>
    </row>
    <row r="24" spans="1:11" x14ac:dyDescent="0.65">
      <c r="A24" t="s">
        <v>136</v>
      </c>
      <c r="B24" t="s">
        <v>100</v>
      </c>
      <c r="C24">
        <v>13</v>
      </c>
      <c r="D24" s="26" t="s">
        <v>115</v>
      </c>
      <c r="E24" s="26" t="s">
        <v>115</v>
      </c>
      <c r="F24">
        <v>1211.9000244140625</v>
      </c>
      <c r="G24">
        <v>512.20001220703125</v>
      </c>
      <c r="H24">
        <v>134.60000610351563</v>
      </c>
      <c r="I24">
        <v>150.60000610351563</v>
      </c>
      <c r="J24" t="s">
        <v>152</v>
      </c>
      <c r="K24">
        <v>-1</v>
      </c>
    </row>
    <row r="25" spans="1:11" x14ac:dyDescent="0.65">
      <c r="A25" t="s">
        <v>136</v>
      </c>
      <c r="B25" t="s">
        <v>41</v>
      </c>
      <c r="C25">
        <v>13</v>
      </c>
      <c r="D25" s="26" t="s">
        <v>115</v>
      </c>
      <c r="E25" s="26" t="s">
        <v>115</v>
      </c>
      <c r="F25">
        <v>1211.9000244140625</v>
      </c>
      <c r="G25">
        <v>137.19999694824219</v>
      </c>
      <c r="H25">
        <v>134.60000610351563</v>
      </c>
      <c r="I25">
        <v>150.60000610351563</v>
      </c>
      <c r="J25" t="s">
        <v>153</v>
      </c>
      <c r="K25">
        <v>-1</v>
      </c>
    </row>
    <row r="26" spans="1:11" x14ac:dyDescent="0.65">
      <c r="A26" t="s">
        <v>136</v>
      </c>
      <c r="B26" t="s">
        <v>40</v>
      </c>
      <c r="C26">
        <v>13</v>
      </c>
      <c r="D26" s="26" t="s">
        <v>115</v>
      </c>
      <c r="E26" s="26" t="s">
        <v>115</v>
      </c>
      <c r="F26">
        <v>994.9000244140625</v>
      </c>
      <c r="G26">
        <v>512.20001220703125</v>
      </c>
      <c r="H26">
        <v>134.60000610351563</v>
      </c>
      <c r="I26">
        <v>150.60000610351563</v>
      </c>
      <c r="J26" t="s">
        <v>154</v>
      </c>
      <c r="K26">
        <v>-1</v>
      </c>
    </row>
    <row r="27" spans="1:11" x14ac:dyDescent="0.65">
      <c r="A27" t="s">
        <v>136</v>
      </c>
      <c r="B27" t="s">
        <v>39</v>
      </c>
      <c r="C27">
        <v>13</v>
      </c>
      <c r="D27" s="26" t="s">
        <v>115</v>
      </c>
      <c r="E27" s="26" t="s">
        <v>115</v>
      </c>
      <c r="F27">
        <v>994.9000244140625</v>
      </c>
      <c r="G27">
        <v>137.19999694824219</v>
      </c>
      <c r="H27">
        <v>134.60000610351563</v>
      </c>
      <c r="I27">
        <v>150.60000610351563</v>
      </c>
      <c r="J27" t="s">
        <v>155</v>
      </c>
      <c r="K27">
        <v>-1</v>
      </c>
    </row>
    <row r="28" spans="1:11" x14ac:dyDescent="0.65">
      <c r="A28" t="s">
        <v>136</v>
      </c>
      <c r="B28" t="s">
        <v>38</v>
      </c>
      <c r="C28">
        <v>13</v>
      </c>
      <c r="D28" s="26" t="s">
        <v>115</v>
      </c>
      <c r="E28" s="26" t="s">
        <v>115</v>
      </c>
      <c r="F28">
        <v>778</v>
      </c>
      <c r="G28">
        <v>512.20001220703125</v>
      </c>
      <c r="H28">
        <v>134.60000610351563</v>
      </c>
      <c r="I28">
        <v>150.60000610351563</v>
      </c>
      <c r="J28" t="s">
        <v>156</v>
      </c>
      <c r="K28">
        <v>-1</v>
      </c>
    </row>
    <row r="29" spans="1:11" x14ac:dyDescent="0.65">
      <c r="A29" t="s">
        <v>136</v>
      </c>
      <c r="B29" t="s">
        <v>37</v>
      </c>
      <c r="C29">
        <v>13</v>
      </c>
      <c r="D29" s="26" t="s">
        <v>115</v>
      </c>
      <c r="E29" s="26" t="s">
        <v>115</v>
      </c>
      <c r="F29">
        <v>778</v>
      </c>
      <c r="G29">
        <v>137.19999694824219</v>
      </c>
      <c r="H29">
        <v>134.60000610351563</v>
      </c>
      <c r="I29">
        <v>150.60000610351563</v>
      </c>
      <c r="J29" t="s">
        <v>157</v>
      </c>
      <c r="K29">
        <v>-1</v>
      </c>
    </row>
    <row r="30" spans="1:11" x14ac:dyDescent="0.65">
      <c r="A30" t="s">
        <v>136</v>
      </c>
      <c r="B30" t="s">
        <v>36</v>
      </c>
      <c r="C30">
        <v>13</v>
      </c>
      <c r="D30" s="26" t="s">
        <v>115</v>
      </c>
      <c r="E30" s="26" t="s">
        <v>115</v>
      </c>
      <c r="F30">
        <v>561</v>
      </c>
      <c r="G30">
        <v>512.20001220703125</v>
      </c>
      <c r="H30">
        <v>134.60000610351563</v>
      </c>
      <c r="I30">
        <v>150.60000610351563</v>
      </c>
      <c r="J30" t="s">
        <v>158</v>
      </c>
      <c r="K30">
        <v>-1</v>
      </c>
    </row>
    <row r="31" spans="1:11" x14ac:dyDescent="0.65">
      <c r="A31" t="s">
        <v>136</v>
      </c>
      <c r="B31" t="s">
        <v>35</v>
      </c>
      <c r="C31">
        <v>13</v>
      </c>
      <c r="D31" s="26" t="s">
        <v>115</v>
      </c>
      <c r="E31" s="26" t="s">
        <v>115</v>
      </c>
      <c r="F31">
        <v>561</v>
      </c>
      <c r="G31">
        <v>137.19999694824219</v>
      </c>
      <c r="H31">
        <v>134.60000610351563</v>
      </c>
      <c r="I31">
        <v>150.60000610351563</v>
      </c>
      <c r="J31" t="s">
        <v>159</v>
      </c>
      <c r="K31">
        <v>-1</v>
      </c>
    </row>
    <row r="32" spans="1:11" x14ac:dyDescent="0.65">
      <c r="A32" t="s">
        <v>136</v>
      </c>
      <c r="B32" t="s">
        <v>34</v>
      </c>
      <c r="C32">
        <v>13</v>
      </c>
      <c r="D32" s="26" t="s">
        <v>115</v>
      </c>
      <c r="E32" s="26" t="s">
        <v>115</v>
      </c>
      <c r="F32">
        <v>344</v>
      </c>
      <c r="G32">
        <v>512.20001220703125</v>
      </c>
      <c r="H32">
        <v>134.60000610351563</v>
      </c>
      <c r="I32">
        <v>150.60000610351563</v>
      </c>
      <c r="J32" t="s">
        <v>160</v>
      </c>
      <c r="K32">
        <v>-1</v>
      </c>
    </row>
    <row r="33" spans="1:13" x14ac:dyDescent="0.65">
      <c r="A33" t="s">
        <v>136</v>
      </c>
      <c r="B33" t="s">
        <v>33</v>
      </c>
      <c r="C33">
        <v>13</v>
      </c>
      <c r="D33" s="26" t="s">
        <v>115</v>
      </c>
      <c r="E33" s="26" t="s">
        <v>115</v>
      </c>
      <c r="F33">
        <v>344</v>
      </c>
      <c r="G33">
        <v>137.19999694824219</v>
      </c>
      <c r="H33">
        <v>134.60000610351563</v>
      </c>
      <c r="I33">
        <v>150.60000610351563</v>
      </c>
      <c r="J33" t="s">
        <v>161</v>
      </c>
      <c r="K33">
        <v>-1</v>
      </c>
    </row>
    <row r="34" spans="1:13" x14ac:dyDescent="0.65">
      <c r="A34" t="s">
        <v>136</v>
      </c>
      <c r="B34" t="s">
        <v>32</v>
      </c>
      <c r="C34">
        <v>13</v>
      </c>
      <c r="D34" s="26" t="s">
        <v>115</v>
      </c>
      <c r="E34" s="26" t="s">
        <v>115</v>
      </c>
      <c r="F34">
        <v>127.09999847412109</v>
      </c>
      <c r="G34">
        <v>512.20001220703125</v>
      </c>
      <c r="H34">
        <v>134.60000610351563</v>
      </c>
      <c r="I34">
        <v>150.60000610351563</v>
      </c>
      <c r="J34" t="s">
        <v>162</v>
      </c>
      <c r="K34">
        <v>-1</v>
      </c>
    </row>
    <row r="35" spans="1:13" x14ac:dyDescent="0.65">
      <c r="A35" t="s">
        <v>136</v>
      </c>
      <c r="B35" t="s">
        <v>31</v>
      </c>
      <c r="C35">
        <v>13</v>
      </c>
      <c r="D35" s="26" t="s">
        <v>115</v>
      </c>
      <c r="E35" s="26" t="s">
        <v>115</v>
      </c>
      <c r="F35">
        <v>127.09999847412109</v>
      </c>
      <c r="G35">
        <v>137.19999694824219</v>
      </c>
      <c r="H35">
        <v>134.60000610351563</v>
      </c>
      <c r="I35">
        <v>150.60000610351563</v>
      </c>
      <c r="J35" t="s">
        <v>163</v>
      </c>
      <c r="K35">
        <v>-1</v>
      </c>
    </row>
    <row r="36" spans="1:13" x14ac:dyDescent="0.65">
      <c r="A36" t="s">
        <v>136</v>
      </c>
      <c r="B36" t="s">
        <v>164</v>
      </c>
      <c r="C36">
        <v>13</v>
      </c>
      <c r="D36" s="26" t="s">
        <v>115</v>
      </c>
      <c r="E36" s="26" t="s">
        <v>115</v>
      </c>
      <c r="F36">
        <v>2935.5</v>
      </c>
      <c r="G36">
        <v>118</v>
      </c>
      <c r="H36">
        <v>338.20001220703125</v>
      </c>
      <c r="I36">
        <v>202.19999694824219</v>
      </c>
      <c r="J36" t="s">
        <v>165</v>
      </c>
      <c r="K36">
        <v>-1</v>
      </c>
    </row>
    <row r="37" spans="1:13" x14ac:dyDescent="0.65">
      <c r="A37" t="s">
        <v>136</v>
      </c>
      <c r="B37" t="s">
        <v>166</v>
      </c>
      <c r="C37">
        <v>13</v>
      </c>
      <c r="D37" s="26" t="s">
        <v>115</v>
      </c>
      <c r="E37" s="26" t="s">
        <v>115</v>
      </c>
      <c r="F37">
        <v>2501.699951171875</v>
      </c>
      <c r="G37">
        <v>118</v>
      </c>
      <c r="H37">
        <v>338.20001220703125</v>
      </c>
      <c r="I37">
        <v>202.19999694824219</v>
      </c>
      <c r="J37" t="s">
        <v>167</v>
      </c>
      <c r="K37">
        <v>-1</v>
      </c>
    </row>
    <row r="38" spans="1:13" x14ac:dyDescent="0.65">
      <c r="A38" t="s">
        <v>136</v>
      </c>
      <c r="B38" t="s">
        <v>168</v>
      </c>
      <c r="C38">
        <v>13</v>
      </c>
      <c r="D38" s="26" t="s">
        <v>115</v>
      </c>
      <c r="E38" s="26" t="s">
        <v>115</v>
      </c>
      <c r="F38">
        <v>983</v>
      </c>
      <c r="G38">
        <v>505</v>
      </c>
      <c r="H38">
        <v>343.89999389648438</v>
      </c>
      <c r="I38">
        <v>203</v>
      </c>
      <c r="J38" t="s">
        <v>169</v>
      </c>
      <c r="K38">
        <v>-1</v>
      </c>
    </row>
    <row r="39" spans="1:13" x14ac:dyDescent="0.65">
      <c r="A39" t="s">
        <v>136</v>
      </c>
      <c r="B39" t="s">
        <v>114</v>
      </c>
      <c r="C39">
        <v>8</v>
      </c>
      <c r="D39" s="26" t="s">
        <v>115</v>
      </c>
      <c r="E39" s="26" t="s">
        <v>115</v>
      </c>
      <c r="F39">
        <v>7.9000000953674316</v>
      </c>
      <c r="G39">
        <v>1180.4000244140625</v>
      </c>
      <c r="H39">
        <v>137</v>
      </c>
      <c r="I39">
        <v>36</v>
      </c>
      <c r="J39" t="s">
        <v>170</v>
      </c>
      <c r="K39">
        <v>-1</v>
      </c>
      <c r="M39" s="26" t="s">
        <v>171</v>
      </c>
    </row>
    <row r="40" spans="1:13" x14ac:dyDescent="0.65">
      <c r="A40" t="s">
        <v>136</v>
      </c>
      <c r="B40" t="s">
        <v>121</v>
      </c>
      <c r="C40">
        <v>8</v>
      </c>
      <c r="D40" s="26" t="s">
        <v>115</v>
      </c>
      <c r="E40" s="26" t="s">
        <v>115</v>
      </c>
      <c r="F40">
        <v>52.900001525878906</v>
      </c>
      <c r="G40">
        <v>1180.4000244140625</v>
      </c>
      <c r="H40">
        <v>135.89999389648438</v>
      </c>
      <c r="I40">
        <v>36</v>
      </c>
      <c r="J40" t="s">
        <v>170</v>
      </c>
      <c r="K40">
        <v>-1</v>
      </c>
      <c r="M40" s="26" t="s">
        <v>172</v>
      </c>
    </row>
    <row r="41" spans="1:13" x14ac:dyDescent="0.65">
      <c r="A41" t="s">
        <v>136</v>
      </c>
      <c r="B41" t="s">
        <v>124</v>
      </c>
      <c r="C41">
        <v>8</v>
      </c>
      <c r="D41" s="26" t="s">
        <v>115</v>
      </c>
      <c r="E41" s="26" t="s">
        <v>115</v>
      </c>
      <c r="F41">
        <v>97.800003051757813</v>
      </c>
      <c r="G41">
        <v>1180.4000244140625</v>
      </c>
      <c r="H41">
        <v>137</v>
      </c>
      <c r="I41">
        <v>36</v>
      </c>
      <c r="J41" t="s">
        <v>173</v>
      </c>
      <c r="K41">
        <v>-1</v>
      </c>
      <c r="M41" s="26" t="s">
        <v>174</v>
      </c>
    </row>
    <row r="42" spans="1:13" x14ac:dyDescent="0.65">
      <c r="A42" t="s">
        <v>136</v>
      </c>
      <c r="B42" t="s">
        <v>66</v>
      </c>
      <c r="C42">
        <v>1</v>
      </c>
      <c r="D42" s="26" t="s">
        <v>175</v>
      </c>
      <c r="E42" s="26" t="s">
        <v>176</v>
      </c>
      <c r="F42">
        <v>984.5</v>
      </c>
      <c r="G42">
        <v>669.70001220703125</v>
      </c>
      <c r="H42">
        <v>175.10000610351563</v>
      </c>
      <c r="I42">
        <v>197.5</v>
      </c>
      <c r="J42" t="s">
        <v>177</v>
      </c>
      <c r="K42">
        <v>-1</v>
      </c>
    </row>
    <row r="43" spans="1:13" x14ac:dyDescent="0.65">
      <c r="A43" t="s">
        <v>136</v>
      </c>
      <c r="B43" t="s">
        <v>178</v>
      </c>
      <c r="C43">
        <v>1</v>
      </c>
      <c r="D43" s="26" t="s">
        <v>179</v>
      </c>
      <c r="E43" s="26" t="s">
        <v>180</v>
      </c>
      <c r="F43">
        <v>1163.300048828125</v>
      </c>
      <c r="G43">
        <v>512</v>
      </c>
      <c r="H43">
        <v>336.5</v>
      </c>
      <c r="I43">
        <v>19.899999618530273</v>
      </c>
      <c r="J43" t="s">
        <v>181</v>
      </c>
      <c r="K43">
        <v>-1</v>
      </c>
    </row>
    <row r="44" spans="1:13" x14ac:dyDescent="0.65">
      <c r="A44" t="s">
        <v>136</v>
      </c>
      <c r="B44" t="s">
        <v>127</v>
      </c>
      <c r="C44">
        <v>8</v>
      </c>
      <c r="D44" s="26" t="s">
        <v>115</v>
      </c>
      <c r="E44" s="26" t="s">
        <v>115</v>
      </c>
      <c r="F44">
        <v>142.89999389648438</v>
      </c>
      <c r="G44">
        <v>1181.5999755859375</v>
      </c>
      <c r="H44">
        <v>136.69999694824219</v>
      </c>
      <c r="I44">
        <v>36.400001525878906</v>
      </c>
      <c r="J44" t="s">
        <v>182</v>
      </c>
      <c r="K44">
        <v>-1</v>
      </c>
      <c r="M44" s="26" t="s">
        <v>183</v>
      </c>
    </row>
    <row r="45" spans="1:13" x14ac:dyDescent="0.65">
      <c r="A45" t="s">
        <v>136</v>
      </c>
      <c r="B45" t="s">
        <v>184</v>
      </c>
      <c r="C45">
        <v>9</v>
      </c>
      <c r="D45" s="26" t="s">
        <v>115</v>
      </c>
      <c r="E45" s="26" t="s">
        <v>115</v>
      </c>
      <c r="F45">
        <v>313.70001220703125</v>
      </c>
      <c r="G45">
        <v>515.5</v>
      </c>
      <c r="H45">
        <v>323</v>
      </c>
      <c r="I45">
        <v>0.40000000596046448</v>
      </c>
      <c r="J45" t="s">
        <v>185</v>
      </c>
      <c r="K45">
        <v>-1</v>
      </c>
    </row>
    <row r="46" spans="1:13" x14ac:dyDescent="0.65">
      <c r="A46" t="s">
        <v>136</v>
      </c>
      <c r="B46" t="s">
        <v>186</v>
      </c>
      <c r="C46">
        <v>9</v>
      </c>
      <c r="D46" s="26" t="s">
        <v>115</v>
      </c>
      <c r="E46" s="26" t="s">
        <v>115</v>
      </c>
      <c r="F46">
        <v>1163</v>
      </c>
      <c r="G46">
        <v>519.4000244140625</v>
      </c>
      <c r="H46">
        <v>324.20001220703125</v>
      </c>
      <c r="I46">
        <v>0.30000001192092896</v>
      </c>
      <c r="J46" t="s">
        <v>181</v>
      </c>
      <c r="K46">
        <v>-1</v>
      </c>
    </row>
    <row r="47" spans="1:13" x14ac:dyDescent="0.65">
      <c r="A47" t="s">
        <v>136</v>
      </c>
      <c r="B47" t="s">
        <v>187</v>
      </c>
      <c r="C47">
        <v>17</v>
      </c>
      <c r="D47" s="26" t="s">
        <v>115</v>
      </c>
      <c r="E47" s="26" t="s">
        <v>115</v>
      </c>
      <c r="F47">
        <v>891.29998779296875</v>
      </c>
      <c r="G47">
        <v>604.29998779296875</v>
      </c>
      <c r="H47">
        <v>14.5</v>
      </c>
      <c r="I47">
        <v>20.799999237060547</v>
      </c>
      <c r="J47" t="s">
        <v>188</v>
      </c>
      <c r="K47">
        <v>-1</v>
      </c>
    </row>
    <row r="48" spans="1:13" x14ac:dyDescent="0.65">
      <c r="A48" t="s">
        <v>136</v>
      </c>
      <c r="B48" t="s">
        <v>189</v>
      </c>
      <c r="C48">
        <v>17</v>
      </c>
      <c r="D48" s="26" t="s">
        <v>115</v>
      </c>
      <c r="E48" s="26" t="s">
        <v>40</v>
      </c>
      <c r="F48">
        <v>1131.0999755859375</v>
      </c>
      <c r="G48">
        <v>540.0999755859375</v>
      </c>
      <c r="H48">
        <v>103.09999847412109</v>
      </c>
      <c r="I48">
        <v>34.599998474121094</v>
      </c>
      <c r="J48" t="s">
        <v>190</v>
      </c>
      <c r="K48">
        <v>-1</v>
      </c>
    </row>
    <row r="49" spans="1:12" x14ac:dyDescent="0.65">
      <c r="A49" t="s">
        <v>136</v>
      </c>
      <c r="B49" t="s">
        <v>191</v>
      </c>
      <c r="C49">
        <v>6</v>
      </c>
      <c r="D49" s="26" t="s">
        <v>115</v>
      </c>
      <c r="E49" s="26" t="s">
        <v>115</v>
      </c>
      <c r="F49">
        <v>115.19999694824219</v>
      </c>
      <c r="G49">
        <v>505</v>
      </c>
      <c r="H49">
        <v>342.60000610351563</v>
      </c>
      <c r="I49">
        <v>205</v>
      </c>
      <c r="J49" t="s">
        <v>192</v>
      </c>
      <c r="K49">
        <v>-1</v>
      </c>
    </row>
    <row r="50" spans="1:12" x14ac:dyDescent="0.65">
      <c r="A50" t="s">
        <v>136</v>
      </c>
      <c r="B50" t="s">
        <v>193</v>
      </c>
      <c r="C50">
        <v>13</v>
      </c>
      <c r="D50" s="26" t="s">
        <v>115</v>
      </c>
      <c r="E50" s="26" t="s">
        <v>115</v>
      </c>
      <c r="F50">
        <v>118.19999694824219</v>
      </c>
      <c r="G50">
        <v>510.5</v>
      </c>
      <c r="H50">
        <v>337</v>
      </c>
      <c r="I50">
        <v>201.89999389648438</v>
      </c>
      <c r="J50" t="s">
        <v>192</v>
      </c>
      <c r="K50">
        <v>-1</v>
      </c>
      <c r="L50" t="s">
        <v>191</v>
      </c>
    </row>
    <row r="51" spans="1:12" x14ac:dyDescent="0.65">
      <c r="A51" t="s">
        <v>136</v>
      </c>
      <c r="B51" t="s">
        <v>57</v>
      </c>
      <c r="C51">
        <v>1</v>
      </c>
      <c r="D51" s="26" t="s">
        <v>194</v>
      </c>
      <c r="E51" s="26" t="s">
        <v>176</v>
      </c>
      <c r="F51">
        <v>115.19999694824219</v>
      </c>
      <c r="G51">
        <v>661.29998779296875</v>
      </c>
      <c r="H51">
        <v>180.5</v>
      </c>
      <c r="I51">
        <v>197</v>
      </c>
      <c r="J51" t="s">
        <v>192</v>
      </c>
      <c r="K51">
        <v>-1</v>
      </c>
      <c r="L51" t="s">
        <v>191</v>
      </c>
    </row>
    <row r="52" spans="1:12" x14ac:dyDescent="0.65">
      <c r="A52" t="s">
        <v>136</v>
      </c>
      <c r="B52" t="s">
        <v>195</v>
      </c>
      <c r="C52">
        <v>1</v>
      </c>
      <c r="D52" s="26" t="s">
        <v>196</v>
      </c>
      <c r="E52" s="26" t="s">
        <v>180</v>
      </c>
      <c r="F52">
        <v>297.5</v>
      </c>
      <c r="G52">
        <v>505</v>
      </c>
      <c r="H52">
        <v>338.29998779296875</v>
      </c>
      <c r="I52">
        <v>21.299999237060547</v>
      </c>
      <c r="J52" t="s">
        <v>192</v>
      </c>
      <c r="K52">
        <v>-1</v>
      </c>
      <c r="L52" t="s">
        <v>191</v>
      </c>
    </row>
    <row r="53" spans="1:12" x14ac:dyDescent="0.65">
      <c r="A53" t="s">
        <v>136</v>
      </c>
      <c r="B53" t="s">
        <v>197</v>
      </c>
      <c r="C53">
        <v>17</v>
      </c>
      <c r="D53" s="26" t="s">
        <v>115</v>
      </c>
      <c r="E53" s="26" t="s">
        <v>32</v>
      </c>
      <c r="F53">
        <v>258</v>
      </c>
      <c r="G53">
        <v>534.5999755859375</v>
      </c>
      <c r="H53">
        <v>92.5</v>
      </c>
      <c r="I53">
        <v>40.5</v>
      </c>
      <c r="J53" t="s">
        <v>192</v>
      </c>
      <c r="K53">
        <v>-1</v>
      </c>
      <c r="L53" t="s">
        <v>191</v>
      </c>
    </row>
    <row r="54" spans="1:12" x14ac:dyDescent="0.65">
      <c r="A54" t="s">
        <v>136</v>
      </c>
      <c r="B54" t="s">
        <v>198</v>
      </c>
      <c r="C54">
        <v>9</v>
      </c>
      <c r="D54" s="26" t="s">
        <v>115</v>
      </c>
      <c r="E54" s="26" t="s">
        <v>115</v>
      </c>
      <c r="F54">
        <v>299.20001220703125</v>
      </c>
      <c r="G54">
        <v>518.70001220703125</v>
      </c>
      <c r="H54">
        <v>323.79998779296875</v>
      </c>
      <c r="I54">
        <v>0.30000001192092896</v>
      </c>
      <c r="J54" t="s">
        <v>192</v>
      </c>
      <c r="K54">
        <v>-1</v>
      </c>
      <c r="L54" t="s">
        <v>191</v>
      </c>
    </row>
    <row r="55" spans="1:12" x14ac:dyDescent="0.65">
      <c r="A55" t="s">
        <v>136</v>
      </c>
      <c r="B55" t="s">
        <v>199</v>
      </c>
      <c r="C55">
        <v>6</v>
      </c>
      <c r="D55" s="26" t="s">
        <v>115</v>
      </c>
      <c r="E55" s="26" t="s">
        <v>115</v>
      </c>
      <c r="F55">
        <v>115.19999694824219</v>
      </c>
      <c r="G55">
        <v>118</v>
      </c>
      <c r="H55">
        <v>339.39999389648438</v>
      </c>
      <c r="I55">
        <v>203.80000305175781</v>
      </c>
      <c r="J55" t="s">
        <v>200</v>
      </c>
      <c r="K55">
        <v>-1</v>
      </c>
    </row>
    <row r="56" spans="1:12" x14ac:dyDescent="0.65">
      <c r="A56" t="s">
        <v>136</v>
      </c>
      <c r="B56" t="s">
        <v>201</v>
      </c>
      <c r="C56">
        <v>13</v>
      </c>
      <c r="D56" s="26" t="s">
        <v>115</v>
      </c>
      <c r="E56" s="26" t="s">
        <v>115</v>
      </c>
      <c r="F56">
        <v>115.19999694824219</v>
      </c>
      <c r="G56">
        <v>118</v>
      </c>
      <c r="H56">
        <v>337.89999389648438</v>
      </c>
      <c r="I56">
        <v>201.89999389648438</v>
      </c>
      <c r="J56" t="s">
        <v>200</v>
      </c>
      <c r="K56">
        <v>-1</v>
      </c>
      <c r="L56" t="s">
        <v>199</v>
      </c>
    </row>
    <row r="57" spans="1:12" x14ac:dyDescent="0.65">
      <c r="A57" t="s">
        <v>136</v>
      </c>
      <c r="B57" t="s">
        <v>195</v>
      </c>
      <c r="C57">
        <v>1</v>
      </c>
      <c r="D57" s="26" t="s">
        <v>202</v>
      </c>
      <c r="E57" s="26" t="s">
        <v>180</v>
      </c>
      <c r="F57">
        <v>295.39999389648438</v>
      </c>
      <c r="G57">
        <v>118</v>
      </c>
      <c r="H57">
        <v>336.29998779296875</v>
      </c>
      <c r="I57">
        <v>21.100000381469727</v>
      </c>
      <c r="J57" t="s">
        <v>200</v>
      </c>
      <c r="K57">
        <v>-1</v>
      </c>
      <c r="L57" t="s">
        <v>199</v>
      </c>
    </row>
    <row r="58" spans="1:12" x14ac:dyDescent="0.65">
      <c r="A58" t="s">
        <v>136</v>
      </c>
      <c r="B58" t="s">
        <v>203</v>
      </c>
      <c r="C58">
        <v>9</v>
      </c>
      <c r="D58" s="26" t="s">
        <v>115</v>
      </c>
      <c r="E58" s="26" t="s">
        <v>115</v>
      </c>
      <c r="F58">
        <v>294.20001220703125</v>
      </c>
      <c r="G58">
        <v>125.80000305175781</v>
      </c>
      <c r="H58">
        <v>323.39999389648438</v>
      </c>
      <c r="I58">
        <v>0.30000001192092896</v>
      </c>
      <c r="J58" t="s">
        <v>200</v>
      </c>
      <c r="K58">
        <v>-1</v>
      </c>
      <c r="L58" t="s">
        <v>199</v>
      </c>
    </row>
    <row r="59" spans="1:12" x14ac:dyDescent="0.65">
      <c r="A59" t="s">
        <v>136</v>
      </c>
      <c r="B59" t="s">
        <v>204</v>
      </c>
      <c r="C59">
        <v>1</v>
      </c>
      <c r="D59" s="26" t="s">
        <v>115</v>
      </c>
      <c r="E59" s="26" t="s">
        <v>31</v>
      </c>
      <c r="F59">
        <v>264.20001220703125</v>
      </c>
      <c r="G59">
        <v>145.89999389648438</v>
      </c>
      <c r="H59">
        <v>96.800003051757813</v>
      </c>
      <c r="I59">
        <v>29.799999237060547</v>
      </c>
      <c r="J59" t="s">
        <v>200</v>
      </c>
      <c r="K59">
        <v>-1</v>
      </c>
      <c r="L59" t="s">
        <v>199</v>
      </c>
    </row>
    <row r="60" spans="1:12" x14ac:dyDescent="0.65">
      <c r="A60" t="s">
        <v>136</v>
      </c>
      <c r="B60" t="s">
        <v>60</v>
      </c>
      <c r="C60">
        <v>1</v>
      </c>
      <c r="D60" s="26" t="s">
        <v>205</v>
      </c>
      <c r="E60" s="26" t="s">
        <v>176</v>
      </c>
      <c r="F60">
        <v>120.40000152587891</v>
      </c>
      <c r="G60">
        <v>274.20001220703125</v>
      </c>
      <c r="H60">
        <v>183.10000610351563</v>
      </c>
      <c r="I60">
        <v>198.5</v>
      </c>
      <c r="J60" t="s">
        <v>200</v>
      </c>
      <c r="K60">
        <v>-1</v>
      </c>
      <c r="L60" t="s">
        <v>199</v>
      </c>
    </row>
    <row r="61" spans="1:12" x14ac:dyDescent="0.65">
      <c r="A61" t="s">
        <v>136</v>
      </c>
      <c r="B61" t="s">
        <v>206</v>
      </c>
      <c r="C61">
        <v>6</v>
      </c>
      <c r="D61" s="26" t="s">
        <v>115</v>
      </c>
      <c r="E61" s="26" t="s">
        <v>115</v>
      </c>
      <c r="F61">
        <v>332.10000610351563</v>
      </c>
      <c r="G61">
        <v>118</v>
      </c>
      <c r="H61">
        <v>338.39999389648438</v>
      </c>
      <c r="I61">
        <v>201.89999389648438</v>
      </c>
      <c r="J61" t="s">
        <v>207</v>
      </c>
      <c r="K61">
        <v>-1</v>
      </c>
    </row>
    <row r="62" spans="1:12" x14ac:dyDescent="0.65">
      <c r="A62" t="s">
        <v>136</v>
      </c>
      <c r="B62" t="s">
        <v>208</v>
      </c>
      <c r="C62">
        <v>13</v>
      </c>
      <c r="D62" s="26" t="s">
        <v>115</v>
      </c>
      <c r="E62" s="26" t="s">
        <v>115</v>
      </c>
      <c r="F62">
        <v>332.10000610351563</v>
      </c>
      <c r="G62">
        <v>118</v>
      </c>
      <c r="H62">
        <v>337.89999389648438</v>
      </c>
      <c r="I62">
        <v>201.80000305175781</v>
      </c>
      <c r="J62" t="s">
        <v>207</v>
      </c>
      <c r="K62">
        <v>-1</v>
      </c>
      <c r="L62" t="s">
        <v>206</v>
      </c>
    </row>
    <row r="63" spans="1:12" x14ac:dyDescent="0.65">
      <c r="A63" t="s">
        <v>136</v>
      </c>
      <c r="B63" t="s">
        <v>56</v>
      </c>
      <c r="C63">
        <v>1</v>
      </c>
      <c r="D63" s="26" t="s">
        <v>209</v>
      </c>
      <c r="E63" s="26" t="s">
        <v>176</v>
      </c>
      <c r="F63">
        <v>332.10000610351563</v>
      </c>
      <c r="G63">
        <v>273.89999389648438</v>
      </c>
      <c r="H63">
        <v>178.10000610351563</v>
      </c>
      <c r="I63">
        <v>199.5</v>
      </c>
      <c r="J63" t="s">
        <v>207</v>
      </c>
      <c r="K63">
        <v>-1</v>
      </c>
      <c r="L63" t="s">
        <v>206</v>
      </c>
    </row>
    <row r="64" spans="1:12" x14ac:dyDescent="0.65">
      <c r="A64" t="s">
        <v>136</v>
      </c>
      <c r="B64" t="s">
        <v>210</v>
      </c>
      <c r="C64">
        <v>1</v>
      </c>
      <c r="D64" s="26" t="s">
        <v>211</v>
      </c>
      <c r="E64" s="26" t="s">
        <v>180</v>
      </c>
      <c r="F64">
        <v>512.5</v>
      </c>
      <c r="G64">
        <v>118.09999847412109</v>
      </c>
      <c r="H64">
        <v>338.29998779296875</v>
      </c>
      <c r="I64">
        <v>19</v>
      </c>
      <c r="J64" t="s">
        <v>207</v>
      </c>
      <c r="K64">
        <v>-1</v>
      </c>
      <c r="L64" t="s">
        <v>206</v>
      </c>
    </row>
    <row r="65" spans="1:12" x14ac:dyDescent="0.65">
      <c r="A65" t="s">
        <v>136</v>
      </c>
      <c r="B65" t="s">
        <v>212</v>
      </c>
      <c r="C65">
        <v>9</v>
      </c>
      <c r="D65" s="26" t="s">
        <v>115</v>
      </c>
      <c r="E65" s="26" t="s">
        <v>115</v>
      </c>
      <c r="F65">
        <v>511.5</v>
      </c>
      <c r="G65">
        <v>127</v>
      </c>
      <c r="H65">
        <v>323.39999389648438</v>
      </c>
      <c r="I65">
        <v>0.30000001192092896</v>
      </c>
      <c r="J65" t="s">
        <v>207</v>
      </c>
      <c r="K65">
        <v>-1</v>
      </c>
      <c r="L65" t="s">
        <v>206</v>
      </c>
    </row>
    <row r="66" spans="1:12" x14ac:dyDescent="0.65">
      <c r="A66" t="s">
        <v>136</v>
      </c>
      <c r="B66" t="s">
        <v>213</v>
      </c>
      <c r="C66">
        <v>1</v>
      </c>
      <c r="D66" s="26" t="s">
        <v>115</v>
      </c>
      <c r="E66" s="26" t="s">
        <v>33</v>
      </c>
      <c r="F66">
        <v>481.29998779296875</v>
      </c>
      <c r="G66">
        <v>144.80000305175781</v>
      </c>
      <c r="H66">
        <v>96.800003051757813</v>
      </c>
      <c r="I66">
        <v>29.799999237060547</v>
      </c>
      <c r="J66" t="s">
        <v>207</v>
      </c>
      <c r="K66">
        <v>-1</v>
      </c>
      <c r="L66" t="s">
        <v>206</v>
      </c>
    </row>
    <row r="67" spans="1:12" x14ac:dyDescent="0.65">
      <c r="A67" t="s">
        <v>136</v>
      </c>
      <c r="B67" t="s">
        <v>214</v>
      </c>
      <c r="C67">
        <v>6</v>
      </c>
      <c r="D67" s="26" t="s">
        <v>115</v>
      </c>
      <c r="E67" s="26" t="s">
        <v>115</v>
      </c>
      <c r="F67">
        <v>330.89999389648438</v>
      </c>
      <c r="G67">
        <v>504.20001220703125</v>
      </c>
      <c r="H67">
        <v>339</v>
      </c>
      <c r="I67">
        <v>203</v>
      </c>
      <c r="J67" t="s">
        <v>215</v>
      </c>
      <c r="K67">
        <v>-1</v>
      </c>
    </row>
    <row r="68" spans="1:12" x14ac:dyDescent="0.65">
      <c r="A68" t="s">
        <v>136</v>
      </c>
      <c r="B68" t="s">
        <v>216</v>
      </c>
      <c r="C68">
        <v>13</v>
      </c>
      <c r="D68" s="26" t="s">
        <v>115</v>
      </c>
      <c r="E68" s="26" t="s">
        <v>115</v>
      </c>
      <c r="F68">
        <v>332.20001220703125</v>
      </c>
      <c r="G68">
        <v>505</v>
      </c>
      <c r="H68">
        <v>338.20001220703125</v>
      </c>
      <c r="I68">
        <v>201.80000305175781</v>
      </c>
      <c r="J68" t="s">
        <v>215</v>
      </c>
      <c r="K68">
        <v>-1</v>
      </c>
      <c r="L68" t="s">
        <v>214</v>
      </c>
    </row>
    <row r="69" spans="1:12" x14ac:dyDescent="0.65">
      <c r="A69" t="s">
        <v>136</v>
      </c>
      <c r="B69" t="s">
        <v>61</v>
      </c>
      <c r="C69">
        <v>1</v>
      </c>
      <c r="D69" s="26" t="s">
        <v>217</v>
      </c>
      <c r="E69" s="26" t="s">
        <v>176</v>
      </c>
      <c r="F69">
        <v>330.89999389648438</v>
      </c>
      <c r="G69">
        <v>659.9000244140625</v>
      </c>
      <c r="H69">
        <v>177.10000610351563</v>
      </c>
      <c r="I69">
        <v>200.60000610351563</v>
      </c>
      <c r="J69" t="s">
        <v>215</v>
      </c>
      <c r="K69">
        <v>-1</v>
      </c>
      <c r="L69" t="s">
        <v>214</v>
      </c>
    </row>
    <row r="70" spans="1:12" x14ac:dyDescent="0.65">
      <c r="A70" t="s">
        <v>136</v>
      </c>
      <c r="B70" t="s">
        <v>218</v>
      </c>
      <c r="C70">
        <v>1</v>
      </c>
      <c r="D70" s="26" t="s">
        <v>219</v>
      </c>
      <c r="E70" s="26" t="s">
        <v>180</v>
      </c>
      <c r="F70">
        <v>511.39999389648438</v>
      </c>
      <c r="G70">
        <v>504.20001220703125</v>
      </c>
      <c r="H70">
        <v>336.5</v>
      </c>
      <c r="I70">
        <v>18.200000762939453</v>
      </c>
      <c r="J70" t="s">
        <v>215</v>
      </c>
      <c r="K70">
        <v>-1</v>
      </c>
      <c r="L70" t="s">
        <v>214</v>
      </c>
    </row>
    <row r="71" spans="1:12" x14ac:dyDescent="0.65">
      <c r="A71" t="s">
        <v>136</v>
      </c>
      <c r="B71" t="s">
        <v>220</v>
      </c>
      <c r="C71">
        <v>9</v>
      </c>
      <c r="D71" s="26" t="s">
        <v>115</v>
      </c>
      <c r="E71" s="26" t="s">
        <v>115</v>
      </c>
      <c r="F71">
        <v>512.29998779296875</v>
      </c>
      <c r="G71">
        <v>511.29998779296875</v>
      </c>
      <c r="H71">
        <v>324.20001220703125</v>
      </c>
      <c r="I71">
        <v>0.30000001192092896</v>
      </c>
      <c r="J71" t="s">
        <v>215</v>
      </c>
      <c r="K71">
        <v>-1</v>
      </c>
      <c r="L71" t="s">
        <v>214</v>
      </c>
    </row>
    <row r="72" spans="1:12" x14ac:dyDescent="0.65">
      <c r="A72" t="s">
        <v>136</v>
      </c>
      <c r="B72" t="s">
        <v>221</v>
      </c>
      <c r="C72">
        <v>17</v>
      </c>
      <c r="D72" s="26" t="s">
        <v>115</v>
      </c>
      <c r="E72" s="26" t="s">
        <v>34</v>
      </c>
      <c r="F72">
        <v>475</v>
      </c>
      <c r="G72">
        <v>536.70001220703125</v>
      </c>
      <c r="H72">
        <v>92.800003051757813</v>
      </c>
      <c r="I72">
        <v>40.5</v>
      </c>
      <c r="J72" t="s">
        <v>215</v>
      </c>
      <c r="K72">
        <v>-1</v>
      </c>
      <c r="L72" t="s">
        <v>214</v>
      </c>
    </row>
    <row r="73" spans="1:12" x14ac:dyDescent="0.65">
      <c r="A73" t="s">
        <v>136</v>
      </c>
      <c r="B73" t="s">
        <v>222</v>
      </c>
      <c r="C73">
        <v>6</v>
      </c>
      <c r="D73" s="26" t="s">
        <v>115</v>
      </c>
      <c r="E73" s="26" t="s">
        <v>115</v>
      </c>
      <c r="F73">
        <v>540.5999755859375</v>
      </c>
      <c r="G73">
        <v>118</v>
      </c>
      <c r="H73">
        <v>337.89999389648438</v>
      </c>
      <c r="I73">
        <v>210.19999694824219</v>
      </c>
      <c r="J73" t="s">
        <v>223</v>
      </c>
      <c r="K73">
        <v>-1</v>
      </c>
    </row>
    <row r="74" spans="1:12" x14ac:dyDescent="0.65">
      <c r="A74" t="s">
        <v>136</v>
      </c>
      <c r="B74" t="s">
        <v>224</v>
      </c>
      <c r="C74">
        <v>13</v>
      </c>
      <c r="D74" s="26" t="s">
        <v>115</v>
      </c>
      <c r="E74" s="26" t="s">
        <v>115</v>
      </c>
      <c r="F74">
        <v>549.0999755859375</v>
      </c>
      <c r="G74">
        <v>118</v>
      </c>
      <c r="H74">
        <v>337.89999389648438</v>
      </c>
      <c r="I74">
        <v>201.69999694824219</v>
      </c>
      <c r="J74" t="s">
        <v>223</v>
      </c>
      <c r="K74">
        <v>-1</v>
      </c>
      <c r="L74" t="s">
        <v>222</v>
      </c>
    </row>
    <row r="75" spans="1:12" x14ac:dyDescent="0.65">
      <c r="A75" t="s">
        <v>136</v>
      </c>
      <c r="B75" t="s">
        <v>73</v>
      </c>
      <c r="C75">
        <v>1</v>
      </c>
      <c r="D75" s="26" t="s">
        <v>225</v>
      </c>
      <c r="E75" s="26" t="s">
        <v>176</v>
      </c>
      <c r="F75">
        <v>540.5999755859375</v>
      </c>
      <c r="G75">
        <v>274.70001220703125</v>
      </c>
      <c r="H75">
        <v>176.5</v>
      </c>
      <c r="I75">
        <v>200.80000305175781</v>
      </c>
      <c r="J75" t="s">
        <v>223</v>
      </c>
      <c r="K75">
        <v>-1</v>
      </c>
      <c r="L75" t="s">
        <v>222</v>
      </c>
    </row>
    <row r="76" spans="1:12" x14ac:dyDescent="0.65">
      <c r="A76" t="s">
        <v>136</v>
      </c>
      <c r="B76" t="s">
        <v>226</v>
      </c>
      <c r="C76">
        <v>1</v>
      </c>
      <c r="D76" s="26" t="s">
        <v>227</v>
      </c>
      <c r="E76" s="26" t="s">
        <v>180</v>
      </c>
      <c r="F76">
        <v>724.5</v>
      </c>
      <c r="G76">
        <v>118.09999847412109</v>
      </c>
      <c r="H76">
        <v>337.39999389648438</v>
      </c>
      <c r="I76">
        <v>19.100000381469727</v>
      </c>
      <c r="J76" t="s">
        <v>223</v>
      </c>
      <c r="K76">
        <v>-1</v>
      </c>
      <c r="L76" t="s">
        <v>222</v>
      </c>
    </row>
    <row r="77" spans="1:12" x14ac:dyDescent="0.65">
      <c r="A77" t="s">
        <v>136</v>
      </c>
      <c r="B77" t="s">
        <v>228</v>
      </c>
      <c r="C77">
        <v>1</v>
      </c>
      <c r="D77" s="26" t="s">
        <v>115</v>
      </c>
      <c r="E77" s="26" t="s">
        <v>229</v>
      </c>
      <c r="F77">
        <v>693.9000244140625</v>
      </c>
      <c r="G77">
        <v>149.69999694824219</v>
      </c>
      <c r="H77">
        <v>96.800003051757813</v>
      </c>
      <c r="I77">
        <v>29.799999237060547</v>
      </c>
      <c r="J77" t="s">
        <v>223</v>
      </c>
      <c r="K77">
        <v>-1</v>
      </c>
      <c r="L77" t="s">
        <v>222</v>
      </c>
    </row>
    <row r="78" spans="1:12" x14ac:dyDescent="0.65">
      <c r="A78" t="s">
        <v>136</v>
      </c>
      <c r="B78" t="s">
        <v>230</v>
      </c>
      <c r="C78">
        <v>9</v>
      </c>
      <c r="D78" s="26" t="s">
        <v>115</v>
      </c>
      <c r="E78" s="26" t="s">
        <v>115</v>
      </c>
      <c r="F78">
        <v>723.9000244140625</v>
      </c>
      <c r="G78">
        <v>126.30000305175781</v>
      </c>
      <c r="H78">
        <v>323.39999389648438</v>
      </c>
      <c r="I78">
        <v>0.30000001192092896</v>
      </c>
      <c r="J78" t="s">
        <v>223</v>
      </c>
      <c r="K78">
        <v>-1</v>
      </c>
      <c r="L78" t="s">
        <v>222</v>
      </c>
    </row>
    <row r="79" spans="1:12" x14ac:dyDescent="0.65">
      <c r="A79" t="s">
        <v>136</v>
      </c>
      <c r="B79" t="s">
        <v>231</v>
      </c>
      <c r="C79">
        <v>6</v>
      </c>
      <c r="D79" s="26" t="s">
        <v>115</v>
      </c>
      <c r="E79" s="26" t="s">
        <v>115</v>
      </c>
      <c r="F79">
        <v>549.0999755859375</v>
      </c>
      <c r="G79">
        <v>504.5</v>
      </c>
      <c r="H79">
        <v>338.79998779296875</v>
      </c>
      <c r="I79">
        <v>201.80000305175781</v>
      </c>
      <c r="J79" t="s">
        <v>232</v>
      </c>
      <c r="K79">
        <v>-1</v>
      </c>
    </row>
    <row r="80" spans="1:12" x14ac:dyDescent="0.65">
      <c r="A80" t="s">
        <v>136</v>
      </c>
      <c r="B80" t="s">
        <v>233</v>
      </c>
      <c r="C80">
        <v>13</v>
      </c>
      <c r="D80" s="26" t="s">
        <v>115</v>
      </c>
      <c r="E80" s="26" t="s">
        <v>115</v>
      </c>
      <c r="F80">
        <v>549.0999755859375</v>
      </c>
      <c r="G80">
        <v>505</v>
      </c>
      <c r="H80">
        <v>338.20001220703125</v>
      </c>
      <c r="I80">
        <v>201.80000305175781</v>
      </c>
      <c r="J80" t="s">
        <v>232</v>
      </c>
      <c r="K80">
        <v>-1</v>
      </c>
      <c r="L80" t="s">
        <v>231</v>
      </c>
    </row>
    <row r="81" spans="1:12" x14ac:dyDescent="0.65">
      <c r="A81" t="s">
        <v>136</v>
      </c>
      <c r="B81" t="s">
        <v>64</v>
      </c>
      <c r="C81">
        <v>1</v>
      </c>
      <c r="D81" s="26" t="s">
        <v>234</v>
      </c>
      <c r="E81" s="26" t="s">
        <v>176</v>
      </c>
      <c r="F81">
        <v>549.20001220703125</v>
      </c>
      <c r="G81">
        <v>661</v>
      </c>
      <c r="H81">
        <v>176</v>
      </c>
      <c r="I81">
        <v>200.89999389648438</v>
      </c>
      <c r="J81" t="s">
        <v>232</v>
      </c>
      <c r="K81">
        <v>-1</v>
      </c>
      <c r="L81" t="s">
        <v>231</v>
      </c>
    </row>
    <row r="82" spans="1:12" x14ac:dyDescent="0.65">
      <c r="A82" t="s">
        <v>136</v>
      </c>
      <c r="B82" t="s">
        <v>235</v>
      </c>
      <c r="C82">
        <v>1</v>
      </c>
      <c r="D82" s="26" t="s">
        <v>236</v>
      </c>
      <c r="E82" s="26" t="s">
        <v>180</v>
      </c>
      <c r="F82">
        <v>732</v>
      </c>
      <c r="G82">
        <v>504.5</v>
      </c>
      <c r="H82">
        <v>337</v>
      </c>
      <c r="I82">
        <v>17</v>
      </c>
      <c r="J82" t="s">
        <v>232</v>
      </c>
      <c r="K82">
        <v>-1</v>
      </c>
      <c r="L82" t="s">
        <v>231</v>
      </c>
    </row>
    <row r="83" spans="1:12" x14ac:dyDescent="0.65">
      <c r="A83" t="s">
        <v>136</v>
      </c>
      <c r="B83" t="s">
        <v>237</v>
      </c>
      <c r="C83">
        <v>9</v>
      </c>
      <c r="D83" s="26" t="s">
        <v>115</v>
      </c>
      <c r="E83" s="26" t="s">
        <v>115</v>
      </c>
      <c r="F83">
        <v>729</v>
      </c>
      <c r="G83">
        <v>513.9000244140625</v>
      </c>
      <c r="H83">
        <v>324.20001220703125</v>
      </c>
      <c r="I83">
        <v>0.30000001192092896</v>
      </c>
      <c r="J83" t="s">
        <v>232</v>
      </c>
      <c r="K83">
        <v>-1</v>
      </c>
      <c r="L83" t="s">
        <v>231</v>
      </c>
    </row>
    <row r="84" spans="1:12" x14ac:dyDescent="0.65">
      <c r="A84" t="s">
        <v>136</v>
      </c>
      <c r="B84" t="s">
        <v>238</v>
      </c>
      <c r="C84">
        <v>17</v>
      </c>
      <c r="D84" s="26" t="s">
        <v>115</v>
      </c>
      <c r="E84" s="26" t="s">
        <v>36</v>
      </c>
      <c r="F84">
        <v>694.5999755859375</v>
      </c>
      <c r="G84">
        <v>537.5</v>
      </c>
      <c r="H84">
        <v>92.800003051757813</v>
      </c>
      <c r="I84">
        <v>40.5</v>
      </c>
      <c r="J84" t="s">
        <v>232</v>
      </c>
      <c r="K84">
        <v>-1</v>
      </c>
      <c r="L84" t="s">
        <v>231</v>
      </c>
    </row>
    <row r="85" spans="1:12" x14ac:dyDescent="0.65">
      <c r="A85" t="s">
        <v>136</v>
      </c>
      <c r="B85" t="s">
        <v>239</v>
      </c>
      <c r="C85">
        <v>6</v>
      </c>
      <c r="D85" s="26" t="s">
        <v>115</v>
      </c>
      <c r="E85" s="26" t="s">
        <v>115</v>
      </c>
      <c r="F85">
        <v>766.0999755859375</v>
      </c>
      <c r="G85">
        <v>118</v>
      </c>
      <c r="H85">
        <v>337.89999389648438</v>
      </c>
      <c r="I85">
        <v>202</v>
      </c>
      <c r="J85" t="s">
        <v>240</v>
      </c>
      <c r="K85">
        <v>-1</v>
      </c>
    </row>
    <row r="86" spans="1:12" x14ac:dyDescent="0.65">
      <c r="A86" t="s">
        <v>136</v>
      </c>
      <c r="B86" t="s">
        <v>241</v>
      </c>
      <c r="C86">
        <v>13</v>
      </c>
      <c r="D86" s="26" t="s">
        <v>115</v>
      </c>
      <c r="E86" s="26" t="s">
        <v>115</v>
      </c>
      <c r="F86">
        <v>766.0999755859375</v>
      </c>
      <c r="G86">
        <v>118</v>
      </c>
      <c r="H86">
        <v>337.89999389648438</v>
      </c>
      <c r="I86">
        <v>202</v>
      </c>
      <c r="J86" t="s">
        <v>240</v>
      </c>
      <c r="K86">
        <v>-1</v>
      </c>
      <c r="L86" t="s">
        <v>239</v>
      </c>
    </row>
    <row r="87" spans="1:12" x14ac:dyDescent="0.65">
      <c r="A87" t="s">
        <v>136</v>
      </c>
      <c r="B87" t="s">
        <v>74</v>
      </c>
      <c r="C87">
        <v>1</v>
      </c>
      <c r="D87" s="26" t="s">
        <v>242</v>
      </c>
      <c r="E87" s="26" t="s">
        <v>176</v>
      </c>
      <c r="F87">
        <v>766.0999755859375</v>
      </c>
      <c r="G87">
        <v>275</v>
      </c>
      <c r="H87">
        <v>176.89999389648438</v>
      </c>
      <c r="I87">
        <v>200.5</v>
      </c>
      <c r="J87" t="s">
        <v>240</v>
      </c>
      <c r="K87">
        <v>-1</v>
      </c>
      <c r="L87" t="s">
        <v>239</v>
      </c>
    </row>
    <row r="88" spans="1:12" x14ac:dyDescent="0.65">
      <c r="A88" t="s">
        <v>136</v>
      </c>
      <c r="B88" t="s">
        <v>243</v>
      </c>
      <c r="C88">
        <v>1</v>
      </c>
      <c r="D88" s="26" t="s">
        <v>244</v>
      </c>
      <c r="E88" s="26" t="s">
        <v>180</v>
      </c>
      <c r="F88">
        <v>947.20001220703125</v>
      </c>
      <c r="G88">
        <v>118.5</v>
      </c>
      <c r="H88">
        <v>335.79998779296875</v>
      </c>
      <c r="I88">
        <v>17.700000762939453</v>
      </c>
      <c r="J88" t="s">
        <v>240</v>
      </c>
      <c r="K88">
        <v>-1</v>
      </c>
      <c r="L88" t="s">
        <v>239</v>
      </c>
    </row>
    <row r="89" spans="1:12" x14ac:dyDescent="0.65">
      <c r="A89" t="s">
        <v>136</v>
      </c>
      <c r="B89" t="s">
        <v>245</v>
      </c>
      <c r="C89">
        <v>9</v>
      </c>
      <c r="D89" s="26" t="s">
        <v>115</v>
      </c>
      <c r="E89" s="26" t="s">
        <v>115</v>
      </c>
      <c r="F89">
        <v>947.20001220703125</v>
      </c>
      <c r="G89">
        <v>125.90000152587891</v>
      </c>
      <c r="H89">
        <v>323.39999389648438</v>
      </c>
      <c r="I89">
        <v>0.30000001192092896</v>
      </c>
      <c r="J89" t="s">
        <v>240</v>
      </c>
      <c r="K89">
        <v>-1</v>
      </c>
      <c r="L89" t="s">
        <v>239</v>
      </c>
    </row>
    <row r="90" spans="1:12" x14ac:dyDescent="0.65">
      <c r="A90" t="s">
        <v>136</v>
      </c>
      <c r="B90" t="s">
        <v>246</v>
      </c>
      <c r="C90">
        <v>17</v>
      </c>
      <c r="D90" s="26" t="s">
        <v>115</v>
      </c>
      <c r="E90" s="26" t="s">
        <v>37</v>
      </c>
      <c r="F90">
        <v>912.29998779296875</v>
      </c>
      <c r="G90">
        <v>148.10000610351563</v>
      </c>
      <c r="H90">
        <v>97.099998474121094</v>
      </c>
      <c r="I90">
        <v>29.700000762939453</v>
      </c>
      <c r="J90" t="s">
        <v>240</v>
      </c>
      <c r="K90">
        <v>-1</v>
      </c>
      <c r="L90" t="s">
        <v>239</v>
      </c>
    </row>
    <row r="91" spans="1:12" x14ac:dyDescent="0.65">
      <c r="A91" t="s">
        <v>136</v>
      </c>
      <c r="B91" t="s">
        <v>247</v>
      </c>
      <c r="C91">
        <v>6</v>
      </c>
      <c r="D91" s="26" t="s">
        <v>115</v>
      </c>
      <c r="E91" s="26" t="s">
        <v>115</v>
      </c>
      <c r="F91">
        <v>766.0999755859375</v>
      </c>
      <c r="G91">
        <v>505</v>
      </c>
      <c r="H91">
        <v>337.89999389648438</v>
      </c>
      <c r="I91">
        <v>202</v>
      </c>
      <c r="J91" t="s">
        <v>248</v>
      </c>
      <c r="K91">
        <v>-1</v>
      </c>
    </row>
    <row r="92" spans="1:12" x14ac:dyDescent="0.65">
      <c r="A92" t="s">
        <v>136</v>
      </c>
      <c r="B92" t="s">
        <v>249</v>
      </c>
      <c r="C92">
        <v>13</v>
      </c>
      <c r="D92" s="26" t="s">
        <v>115</v>
      </c>
      <c r="E92" s="26" t="s">
        <v>115</v>
      </c>
      <c r="F92">
        <v>766.0999755859375</v>
      </c>
      <c r="G92">
        <v>505</v>
      </c>
      <c r="H92">
        <v>337.89999389648438</v>
      </c>
      <c r="I92">
        <v>202</v>
      </c>
      <c r="J92" t="s">
        <v>248</v>
      </c>
      <c r="K92">
        <v>-1</v>
      </c>
      <c r="L92" t="s">
        <v>247</v>
      </c>
    </row>
    <row r="93" spans="1:12" x14ac:dyDescent="0.65">
      <c r="A93" t="s">
        <v>136</v>
      </c>
      <c r="B93" t="s">
        <v>65</v>
      </c>
      <c r="C93">
        <v>1</v>
      </c>
      <c r="D93" s="26" t="s">
        <v>250</v>
      </c>
      <c r="E93" s="26" t="s">
        <v>176</v>
      </c>
      <c r="F93">
        <v>766.0999755859375</v>
      </c>
      <c r="G93">
        <v>660.9000244140625</v>
      </c>
      <c r="H93">
        <v>175.80000305175781</v>
      </c>
      <c r="I93">
        <v>200.5</v>
      </c>
      <c r="J93" t="s">
        <v>248</v>
      </c>
      <c r="K93">
        <v>-1</v>
      </c>
      <c r="L93" t="s">
        <v>247</v>
      </c>
    </row>
    <row r="94" spans="1:12" x14ac:dyDescent="0.65">
      <c r="A94" t="s">
        <v>136</v>
      </c>
      <c r="B94" t="s">
        <v>251</v>
      </c>
      <c r="C94">
        <v>1</v>
      </c>
      <c r="D94" s="26" t="s">
        <v>252</v>
      </c>
      <c r="E94" s="26" t="s">
        <v>180</v>
      </c>
      <c r="F94">
        <v>947</v>
      </c>
      <c r="G94">
        <v>505.29998779296875</v>
      </c>
      <c r="H94">
        <v>335.39999389648438</v>
      </c>
      <c r="I94">
        <v>19.299999237060547</v>
      </c>
      <c r="J94" t="s">
        <v>248</v>
      </c>
      <c r="K94">
        <v>-1</v>
      </c>
      <c r="L94" t="s">
        <v>247</v>
      </c>
    </row>
    <row r="95" spans="1:12" x14ac:dyDescent="0.65">
      <c r="A95" t="s">
        <v>136</v>
      </c>
      <c r="B95" t="s">
        <v>253</v>
      </c>
      <c r="C95">
        <v>9</v>
      </c>
      <c r="D95" s="26" t="s">
        <v>115</v>
      </c>
      <c r="E95" s="26" t="s">
        <v>115</v>
      </c>
      <c r="F95">
        <v>946.5</v>
      </c>
      <c r="G95">
        <v>510.70001220703125</v>
      </c>
      <c r="H95">
        <v>323.79998779296875</v>
      </c>
      <c r="I95">
        <v>0.30000001192092896</v>
      </c>
      <c r="J95" t="s">
        <v>248</v>
      </c>
      <c r="K95">
        <v>-1</v>
      </c>
      <c r="L95" t="s">
        <v>247</v>
      </c>
    </row>
    <row r="96" spans="1:12" x14ac:dyDescent="0.65">
      <c r="A96" t="s">
        <v>136</v>
      </c>
      <c r="B96" t="s">
        <v>254</v>
      </c>
      <c r="C96">
        <v>17</v>
      </c>
      <c r="D96" s="26" t="s">
        <v>115</v>
      </c>
      <c r="E96" s="26" t="s">
        <v>38</v>
      </c>
      <c r="F96">
        <v>912.79998779296875</v>
      </c>
      <c r="G96">
        <v>535.29998779296875</v>
      </c>
      <c r="H96">
        <v>97.099998474121094</v>
      </c>
      <c r="I96">
        <v>34.599998474121094</v>
      </c>
      <c r="J96" t="s">
        <v>248</v>
      </c>
      <c r="K96">
        <v>-1</v>
      </c>
      <c r="L96" t="s">
        <v>247</v>
      </c>
    </row>
    <row r="97" spans="1:12" x14ac:dyDescent="0.65">
      <c r="A97" t="s">
        <v>136</v>
      </c>
      <c r="B97" t="s">
        <v>255</v>
      </c>
      <c r="C97">
        <v>6</v>
      </c>
      <c r="D97" s="26" t="s">
        <v>115</v>
      </c>
      <c r="E97" s="26" t="s">
        <v>115</v>
      </c>
      <c r="F97">
        <v>983</v>
      </c>
      <c r="G97">
        <v>118</v>
      </c>
      <c r="H97">
        <v>337.89999389648438</v>
      </c>
      <c r="I97">
        <v>202.69999694824219</v>
      </c>
      <c r="J97" t="s">
        <v>256</v>
      </c>
      <c r="K97">
        <v>-1</v>
      </c>
    </row>
    <row r="98" spans="1:12" x14ac:dyDescent="0.65">
      <c r="A98" t="s">
        <v>136</v>
      </c>
      <c r="B98" t="s">
        <v>257</v>
      </c>
      <c r="C98">
        <v>13</v>
      </c>
      <c r="D98" s="26" t="s">
        <v>115</v>
      </c>
      <c r="E98" s="26" t="s">
        <v>115</v>
      </c>
      <c r="F98">
        <v>983</v>
      </c>
      <c r="G98">
        <v>118</v>
      </c>
      <c r="H98">
        <v>337.89999389648438</v>
      </c>
      <c r="I98">
        <v>201.80000305175781</v>
      </c>
      <c r="J98" t="s">
        <v>256</v>
      </c>
      <c r="K98">
        <v>-1</v>
      </c>
      <c r="L98" t="s">
        <v>255</v>
      </c>
    </row>
    <row r="99" spans="1:12" x14ac:dyDescent="0.65">
      <c r="A99" t="s">
        <v>136</v>
      </c>
      <c r="B99" t="s">
        <v>75</v>
      </c>
      <c r="C99">
        <v>1</v>
      </c>
      <c r="D99" s="26" t="s">
        <v>258</v>
      </c>
      <c r="E99" s="26" t="s">
        <v>176</v>
      </c>
      <c r="F99">
        <v>984.5999755859375</v>
      </c>
      <c r="G99">
        <v>274.79998779296875</v>
      </c>
      <c r="H99">
        <v>177.39999389648438</v>
      </c>
      <c r="I99">
        <v>198.89999389648438</v>
      </c>
      <c r="J99" t="s">
        <v>256</v>
      </c>
      <c r="K99">
        <v>-1</v>
      </c>
      <c r="L99" t="s">
        <v>255</v>
      </c>
    </row>
    <row r="100" spans="1:12" x14ac:dyDescent="0.65">
      <c r="A100" t="s">
        <v>136</v>
      </c>
      <c r="B100" t="s">
        <v>259</v>
      </c>
      <c r="C100">
        <v>1</v>
      </c>
      <c r="D100" s="26" t="s">
        <v>260</v>
      </c>
      <c r="E100" s="26" t="s">
        <v>180</v>
      </c>
      <c r="F100">
        <v>1162.300048828125</v>
      </c>
      <c r="G100">
        <v>119.09999847412109</v>
      </c>
      <c r="H100">
        <v>334.5</v>
      </c>
      <c r="I100">
        <v>23.399999618530273</v>
      </c>
      <c r="J100" t="s">
        <v>256</v>
      </c>
      <c r="K100">
        <v>-1</v>
      </c>
      <c r="L100" t="s">
        <v>255</v>
      </c>
    </row>
    <row r="101" spans="1:12" x14ac:dyDescent="0.65">
      <c r="A101" t="s">
        <v>136</v>
      </c>
      <c r="B101" t="s">
        <v>261</v>
      </c>
      <c r="C101">
        <v>9</v>
      </c>
      <c r="D101" s="26" t="s">
        <v>115</v>
      </c>
      <c r="E101" s="26" t="s">
        <v>115</v>
      </c>
      <c r="F101">
        <v>1162.0999755859375</v>
      </c>
      <c r="G101">
        <v>126</v>
      </c>
      <c r="H101">
        <v>323.39999389648438</v>
      </c>
      <c r="I101">
        <v>0.30000001192092896</v>
      </c>
      <c r="J101" t="s">
        <v>256</v>
      </c>
      <c r="K101">
        <v>-1</v>
      </c>
      <c r="L101" t="s">
        <v>255</v>
      </c>
    </row>
    <row r="102" spans="1:12" x14ac:dyDescent="0.65">
      <c r="A102" t="s">
        <v>136</v>
      </c>
      <c r="B102" t="s">
        <v>262</v>
      </c>
      <c r="C102">
        <v>17</v>
      </c>
      <c r="D102" s="26" t="s">
        <v>115</v>
      </c>
      <c r="E102" s="26" t="s">
        <v>39</v>
      </c>
      <c r="F102">
        <v>1129.5999755859375</v>
      </c>
      <c r="G102">
        <v>150.69999694824219</v>
      </c>
      <c r="H102">
        <v>97.099998474121094</v>
      </c>
      <c r="I102">
        <v>29.700000762939453</v>
      </c>
      <c r="J102" t="s">
        <v>256</v>
      </c>
      <c r="K102">
        <v>-1</v>
      </c>
      <c r="L102" t="s">
        <v>255</v>
      </c>
    </row>
    <row r="103" spans="1:12" x14ac:dyDescent="0.65">
      <c r="A103" t="s">
        <v>136</v>
      </c>
      <c r="B103" t="s">
        <v>263</v>
      </c>
      <c r="C103">
        <v>6</v>
      </c>
      <c r="D103" s="26" t="s">
        <v>115</v>
      </c>
      <c r="E103" s="26" t="s">
        <v>115</v>
      </c>
      <c r="F103">
        <v>1199.9000244140625</v>
      </c>
      <c r="G103">
        <v>118</v>
      </c>
      <c r="H103">
        <v>338.20001220703125</v>
      </c>
      <c r="I103">
        <v>201.80000305175781</v>
      </c>
      <c r="J103" t="s">
        <v>264</v>
      </c>
      <c r="K103">
        <v>-1</v>
      </c>
    </row>
    <row r="104" spans="1:12" x14ac:dyDescent="0.65">
      <c r="A104" t="s">
        <v>136</v>
      </c>
      <c r="B104" t="s">
        <v>265</v>
      </c>
      <c r="C104">
        <v>13</v>
      </c>
      <c r="D104" s="26" t="s">
        <v>115</v>
      </c>
      <c r="E104" s="26" t="s">
        <v>115</v>
      </c>
      <c r="F104">
        <v>1199.9000244140625</v>
      </c>
      <c r="G104">
        <v>118</v>
      </c>
      <c r="H104">
        <v>338.20001220703125</v>
      </c>
      <c r="I104">
        <v>201.80000305175781</v>
      </c>
      <c r="J104" t="s">
        <v>264</v>
      </c>
      <c r="K104">
        <v>-1</v>
      </c>
      <c r="L104" t="s">
        <v>263</v>
      </c>
    </row>
    <row r="105" spans="1:12" x14ac:dyDescent="0.65">
      <c r="A105" t="s">
        <v>136</v>
      </c>
      <c r="B105" t="s">
        <v>76</v>
      </c>
      <c r="C105">
        <v>1</v>
      </c>
      <c r="D105" s="26" t="s">
        <v>266</v>
      </c>
      <c r="E105" s="26" t="s">
        <v>176</v>
      </c>
      <c r="F105">
        <v>1201.0999755859375</v>
      </c>
      <c r="G105">
        <v>275.10000610351563</v>
      </c>
      <c r="H105">
        <v>177.19999694824219</v>
      </c>
      <c r="I105">
        <v>200</v>
      </c>
      <c r="J105" t="s">
        <v>264</v>
      </c>
      <c r="K105">
        <v>-1</v>
      </c>
      <c r="L105" t="s">
        <v>263</v>
      </c>
    </row>
    <row r="106" spans="1:12" x14ac:dyDescent="0.65">
      <c r="A106" t="s">
        <v>136</v>
      </c>
      <c r="B106" t="s">
        <v>267</v>
      </c>
      <c r="C106">
        <v>1</v>
      </c>
      <c r="D106" s="26" t="s">
        <v>268</v>
      </c>
      <c r="E106" s="26" t="s">
        <v>180</v>
      </c>
      <c r="F106">
        <v>1379.4000244140625</v>
      </c>
      <c r="G106">
        <v>119.69999694824219</v>
      </c>
      <c r="H106">
        <v>335.29998779296875</v>
      </c>
      <c r="I106">
        <v>18.899999618530273</v>
      </c>
      <c r="J106" t="s">
        <v>264</v>
      </c>
      <c r="K106">
        <v>-1</v>
      </c>
      <c r="L106" t="s">
        <v>263</v>
      </c>
    </row>
    <row r="107" spans="1:12" x14ac:dyDescent="0.65">
      <c r="A107" t="s">
        <v>136</v>
      </c>
      <c r="B107" t="s">
        <v>269</v>
      </c>
      <c r="C107">
        <v>9</v>
      </c>
      <c r="D107" s="26" t="s">
        <v>115</v>
      </c>
      <c r="E107" s="26" t="s">
        <v>115</v>
      </c>
      <c r="F107">
        <v>1379.4000244140625</v>
      </c>
      <c r="G107">
        <v>126.5</v>
      </c>
      <c r="H107">
        <v>323.79998779296875</v>
      </c>
      <c r="I107">
        <v>0.30000001192092896</v>
      </c>
      <c r="J107" t="s">
        <v>264</v>
      </c>
      <c r="K107">
        <v>-1</v>
      </c>
      <c r="L107" t="s">
        <v>263</v>
      </c>
    </row>
    <row r="108" spans="1:12" x14ac:dyDescent="0.65">
      <c r="A108" t="s">
        <v>136</v>
      </c>
      <c r="B108" t="s">
        <v>270</v>
      </c>
      <c r="C108">
        <v>17</v>
      </c>
      <c r="D108" s="26" t="s">
        <v>115</v>
      </c>
      <c r="E108" s="26" t="s">
        <v>41</v>
      </c>
      <c r="F108">
        <v>1351</v>
      </c>
      <c r="G108">
        <v>146.80000305175781</v>
      </c>
      <c r="H108">
        <v>103</v>
      </c>
      <c r="I108">
        <v>29.700000762939453</v>
      </c>
      <c r="J108" t="s">
        <v>264</v>
      </c>
      <c r="K108">
        <v>-1</v>
      </c>
      <c r="L108" t="s">
        <v>263</v>
      </c>
    </row>
    <row r="109" spans="1:12" x14ac:dyDescent="0.65">
      <c r="A109" t="s">
        <v>136</v>
      </c>
      <c r="B109" t="s">
        <v>271</v>
      </c>
      <c r="C109">
        <v>6</v>
      </c>
      <c r="D109" s="26" t="s">
        <v>115</v>
      </c>
      <c r="E109" s="26" t="s">
        <v>115</v>
      </c>
      <c r="F109">
        <v>1199.9000244140625</v>
      </c>
      <c r="G109">
        <v>505</v>
      </c>
      <c r="H109">
        <v>338.20001220703125</v>
      </c>
      <c r="I109">
        <v>201.80000305175781</v>
      </c>
      <c r="J109" t="s">
        <v>272</v>
      </c>
      <c r="K109">
        <v>-1</v>
      </c>
    </row>
    <row r="110" spans="1:12" x14ac:dyDescent="0.65">
      <c r="A110" t="s">
        <v>136</v>
      </c>
      <c r="B110" t="s">
        <v>273</v>
      </c>
      <c r="C110">
        <v>13</v>
      </c>
      <c r="D110" s="26" t="s">
        <v>115</v>
      </c>
      <c r="E110" s="26" t="s">
        <v>115</v>
      </c>
      <c r="F110">
        <v>1199.9000244140625</v>
      </c>
      <c r="G110">
        <v>505</v>
      </c>
      <c r="H110">
        <v>338.20001220703125</v>
      </c>
      <c r="I110">
        <v>201.80000305175781</v>
      </c>
      <c r="J110" t="s">
        <v>272</v>
      </c>
      <c r="K110">
        <v>-1</v>
      </c>
      <c r="L110" t="s">
        <v>271</v>
      </c>
    </row>
    <row r="111" spans="1:12" x14ac:dyDescent="0.65">
      <c r="A111" t="s">
        <v>136</v>
      </c>
      <c r="B111" t="s">
        <v>274</v>
      </c>
      <c r="C111">
        <v>17</v>
      </c>
      <c r="D111" s="26" t="s">
        <v>115</v>
      </c>
      <c r="E111" s="26" t="s">
        <v>100</v>
      </c>
      <c r="F111">
        <v>1346</v>
      </c>
      <c r="G111">
        <v>529.20001220703125</v>
      </c>
      <c r="H111">
        <v>103.09999847412109</v>
      </c>
      <c r="I111">
        <v>34.200000762939453</v>
      </c>
      <c r="J111" t="s">
        <v>272</v>
      </c>
      <c r="K111">
        <v>-1</v>
      </c>
      <c r="L111" t="s">
        <v>271</v>
      </c>
    </row>
    <row r="112" spans="1:12" x14ac:dyDescent="0.65">
      <c r="A112" t="s">
        <v>136</v>
      </c>
      <c r="B112" t="s">
        <v>275</v>
      </c>
      <c r="C112">
        <v>9</v>
      </c>
      <c r="D112" s="26" t="s">
        <v>115</v>
      </c>
      <c r="E112" s="26" t="s">
        <v>115</v>
      </c>
      <c r="F112">
        <v>1377</v>
      </c>
      <c r="G112">
        <v>510.29998779296875</v>
      </c>
      <c r="H112">
        <v>324.20001220703125</v>
      </c>
      <c r="I112">
        <v>0.30000001192092896</v>
      </c>
      <c r="J112" t="s">
        <v>272</v>
      </c>
      <c r="K112">
        <v>-1</v>
      </c>
      <c r="L112" t="s">
        <v>271</v>
      </c>
    </row>
    <row r="113" spans="1:12" x14ac:dyDescent="0.65">
      <c r="A113" t="s">
        <v>136</v>
      </c>
      <c r="B113" t="s">
        <v>178</v>
      </c>
      <c r="C113">
        <v>1</v>
      </c>
      <c r="D113" s="26" t="s">
        <v>276</v>
      </c>
      <c r="E113" s="26" t="s">
        <v>180</v>
      </c>
      <c r="F113">
        <v>1380.5</v>
      </c>
      <c r="G113">
        <v>506.10000610351563</v>
      </c>
      <c r="H113">
        <v>336.5</v>
      </c>
      <c r="I113">
        <v>19.899999618530273</v>
      </c>
      <c r="J113" t="s">
        <v>272</v>
      </c>
      <c r="K113">
        <v>-1</v>
      </c>
      <c r="L113" t="s">
        <v>271</v>
      </c>
    </row>
    <row r="114" spans="1:12" x14ac:dyDescent="0.65">
      <c r="A114" t="s">
        <v>136</v>
      </c>
      <c r="B114" t="s">
        <v>277</v>
      </c>
      <c r="C114">
        <v>1</v>
      </c>
      <c r="D114" s="26" t="s">
        <v>278</v>
      </c>
      <c r="E114" s="26" t="s">
        <v>176</v>
      </c>
      <c r="F114">
        <v>1201.4000244140625</v>
      </c>
      <c r="G114">
        <v>661.9000244140625</v>
      </c>
      <c r="H114">
        <v>175.10000610351563</v>
      </c>
      <c r="I114">
        <v>197.5</v>
      </c>
      <c r="J114" t="s">
        <v>272</v>
      </c>
      <c r="K114">
        <v>-1</v>
      </c>
      <c r="L114" t="s">
        <v>271</v>
      </c>
    </row>
    <row r="115" spans="1:12" x14ac:dyDescent="0.65">
      <c r="A115" t="s">
        <v>136</v>
      </c>
      <c r="B115" t="s">
        <v>279</v>
      </c>
      <c r="C115">
        <v>6</v>
      </c>
      <c r="D115" s="26" t="s">
        <v>115</v>
      </c>
      <c r="E115" s="26" t="s">
        <v>115</v>
      </c>
      <c r="F115">
        <v>1416.9000244140625</v>
      </c>
      <c r="G115">
        <v>118</v>
      </c>
      <c r="H115">
        <v>338.20001220703125</v>
      </c>
      <c r="I115">
        <v>201.80000305175781</v>
      </c>
      <c r="J115" t="s">
        <v>280</v>
      </c>
      <c r="K115">
        <v>-1</v>
      </c>
    </row>
    <row r="116" spans="1:12" x14ac:dyDescent="0.65">
      <c r="A116" t="s">
        <v>136</v>
      </c>
      <c r="B116" t="s">
        <v>281</v>
      </c>
      <c r="C116">
        <v>13</v>
      </c>
      <c r="D116" s="26" t="s">
        <v>115</v>
      </c>
      <c r="E116" s="26" t="s">
        <v>115</v>
      </c>
      <c r="F116">
        <v>1416.9000244140625</v>
      </c>
      <c r="G116">
        <v>118</v>
      </c>
      <c r="H116">
        <v>338.20001220703125</v>
      </c>
      <c r="I116">
        <v>201.80000305175781</v>
      </c>
      <c r="J116" t="s">
        <v>280</v>
      </c>
      <c r="K116">
        <v>-1</v>
      </c>
      <c r="L116" t="s">
        <v>279</v>
      </c>
    </row>
    <row r="117" spans="1:12" x14ac:dyDescent="0.65">
      <c r="A117" t="s">
        <v>136</v>
      </c>
      <c r="B117" t="s">
        <v>77</v>
      </c>
      <c r="C117">
        <v>1</v>
      </c>
      <c r="D117" s="26" t="s">
        <v>282</v>
      </c>
      <c r="E117" s="26" t="s">
        <v>176</v>
      </c>
      <c r="F117">
        <v>1417.9000244140625</v>
      </c>
      <c r="G117">
        <v>276.29998779296875</v>
      </c>
      <c r="H117">
        <v>176.10000610351563</v>
      </c>
      <c r="I117">
        <v>199.5</v>
      </c>
      <c r="J117" t="s">
        <v>280</v>
      </c>
      <c r="K117">
        <v>-1</v>
      </c>
      <c r="L117" t="s">
        <v>279</v>
      </c>
    </row>
    <row r="118" spans="1:12" x14ac:dyDescent="0.65">
      <c r="A118" t="s">
        <v>136</v>
      </c>
      <c r="B118" t="s">
        <v>283</v>
      </c>
      <c r="C118">
        <v>1</v>
      </c>
      <c r="D118" s="26" t="s">
        <v>284</v>
      </c>
      <c r="E118" s="26" t="s">
        <v>180</v>
      </c>
      <c r="F118">
        <v>1596.199951171875</v>
      </c>
      <c r="G118">
        <v>118.5</v>
      </c>
      <c r="H118">
        <v>336.10000610351563</v>
      </c>
      <c r="I118">
        <v>18.5</v>
      </c>
      <c r="J118" t="s">
        <v>280</v>
      </c>
      <c r="K118">
        <v>-1</v>
      </c>
      <c r="L118" t="s">
        <v>279</v>
      </c>
    </row>
    <row r="119" spans="1:12" x14ac:dyDescent="0.65">
      <c r="A119" t="s">
        <v>136</v>
      </c>
      <c r="B119" t="s">
        <v>285</v>
      </c>
      <c r="C119">
        <v>9</v>
      </c>
      <c r="D119" s="26" t="s">
        <v>115</v>
      </c>
      <c r="E119" s="26" t="s">
        <v>115</v>
      </c>
      <c r="F119">
        <v>1596</v>
      </c>
      <c r="G119">
        <v>125.80000305175781</v>
      </c>
      <c r="H119">
        <v>323.79998779296875</v>
      </c>
      <c r="I119">
        <v>0.30000001192092896</v>
      </c>
      <c r="J119" t="s">
        <v>280</v>
      </c>
      <c r="K119">
        <v>-1</v>
      </c>
      <c r="L119" t="s">
        <v>279</v>
      </c>
    </row>
    <row r="120" spans="1:12" x14ac:dyDescent="0.65">
      <c r="A120" t="s">
        <v>136</v>
      </c>
      <c r="B120" t="s">
        <v>286</v>
      </c>
      <c r="C120">
        <v>17</v>
      </c>
      <c r="D120" s="26" t="s">
        <v>115</v>
      </c>
      <c r="E120" s="26" t="s">
        <v>42</v>
      </c>
      <c r="F120">
        <v>1563.9000244140625</v>
      </c>
      <c r="G120">
        <v>144.30000305175781</v>
      </c>
      <c r="H120">
        <v>103</v>
      </c>
      <c r="I120">
        <v>29.5</v>
      </c>
      <c r="J120" t="s">
        <v>280</v>
      </c>
      <c r="K120">
        <v>-1</v>
      </c>
      <c r="L120" t="s">
        <v>279</v>
      </c>
    </row>
    <row r="121" spans="1:12" x14ac:dyDescent="0.65">
      <c r="A121" t="s">
        <v>136</v>
      </c>
      <c r="B121" t="s">
        <v>287</v>
      </c>
      <c r="C121">
        <v>6</v>
      </c>
      <c r="D121" s="26" t="s">
        <v>115</v>
      </c>
      <c r="E121" s="26" t="s">
        <v>115</v>
      </c>
      <c r="F121">
        <v>1416.9000244140625</v>
      </c>
      <c r="G121">
        <v>505</v>
      </c>
      <c r="H121">
        <v>338.20001220703125</v>
      </c>
      <c r="I121">
        <v>202</v>
      </c>
      <c r="J121" t="s">
        <v>288</v>
      </c>
      <c r="K121">
        <v>-1</v>
      </c>
    </row>
    <row r="122" spans="1:12" x14ac:dyDescent="0.65">
      <c r="A122" t="s">
        <v>136</v>
      </c>
      <c r="B122" t="s">
        <v>289</v>
      </c>
      <c r="C122">
        <v>13</v>
      </c>
      <c r="D122" s="26" t="s">
        <v>115</v>
      </c>
      <c r="E122" s="26" t="s">
        <v>115</v>
      </c>
      <c r="F122">
        <v>1416.9000244140625</v>
      </c>
      <c r="G122">
        <v>505</v>
      </c>
      <c r="H122">
        <v>338.20001220703125</v>
      </c>
      <c r="I122">
        <v>202</v>
      </c>
      <c r="J122" t="s">
        <v>288</v>
      </c>
      <c r="K122">
        <v>-1</v>
      </c>
      <c r="L122" t="s">
        <v>287</v>
      </c>
    </row>
    <row r="123" spans="1:12" x14ac:dyDescent="0.65">
      <c r="A123" t="s">
        <v>136</v>
      </c>
      <c r="B123" t="s">
        <v>67</v>
      </c>
      <c r="C123">
        <v>1</v>
      </c>
      <c r="D123" s="26" t="s">
        <v>290</v>
      </c>
      <c r="E123" s="26" t="s">
        <v>176</v>
      </c>
      <c r="F123">
        <v>1417.9000244140625</v>
      </c>
      <c r="G123">
        <v>660.5</v>
      </c>
      <c r="H123">
        <v>176.60000610351563</v>
      </c>
      <c r="I123">
        <v>199.69999694824219</v>
      </c>
      <c r="J123" t="s">
        <v>288</v>
      </c>
      <c r="K123">
        <v>-1</v>
      </c>
      <c r="L123" t="s">
        <v>287</v>
      </c>
    </row>
    <row r="124" spans="1:12" x14ac:dyDescent="0.65">
      <c r="A124" t="s">
        <v>136</v>
      </c>
      <c r="B124" t="s">
        <v>291</v>
      </c>
      <c r="C124">
        <v>1</v>
      </c>
      <c r="D124" s="26" t="s">
        <v>292</v>
      </c>
      <c r="E124" s="26" t="s">
        <v>180</v>
      </c>
      <c r="F124">
        <v>1596.800048828125</v>
      </c>
      <c r="G124">
        <v>505.10000610351563</v>
      </c>
      <c r="H124">
        <v>336.5</v>
      </c>
      <c r="I124">
        <v>18.899999618530273</v>
      </c>
      <c r="J124" t="s">
        <v>288</v>
      </c>
      <c r="K124">
        <v>-1</v>
      </c>
      <c r="L124" t="s">
        <v>287</v>
      </c>
    </row>
    <row r="125" spans="1:12" x14ac:dyDescent="0.65">
      <c r="A125" t="s">
        <v>136</v>
      </c>
      <c r="B125" t="s">
        <v>293</v>
      </c>
      <c r="C125">
        <v>9</v>
      </c>
      <c r="D125" s="26" t="s">
        <v>115</v>
      </c>
      <c r="E125" s="26" t="s">
        <v>115</v>
      </c>
      <c r="F125">
        <v>1596.9000244140625</v>
      </c>
      <c r="G125">
        <v>514.0999755859375</v>
      </c>
      <c r="H125">
        <v>324.20001220703125</v>
      </c>
      <c r="I125">
        <v>0.30000001192092896</v>
      </c>
      <c r="J125" t="s">
        <v>288</v>
      </c>
      <c r="K125">
        <v>-1</v>
      </c>
      <c r="L125" t="s">
        <v>287</v>
      </c>
    </row>
    <row r="126" spans="1:12" x14ac:dyDescent="0.65">
      <c r="A126" t="s">
        <v>136</v>
      </c>
      <c r="B126" t="s">
        <v>294</v>
      </c>
      <c r="C126">
        <v>17</v>
      </c>
      <c r="D126" s="26" t="s">
        <v>115</v>
      </c>
      <c r="E126" s="26" t="s">
        <v>43</v>
      </c>
      <c r="F126">
        <v>1563.0999755859375</v>
      </c>
      <c r="G126">
        <v>531.79998779296875</v>
      </c>
      <c r="H126">
        <v>103</v>
      </c>
      <c r="I126">
        <v>34.599998474121094</v>
      </c>
      <c r="J126" t="s">
        <v>288</v>
      </c>
      <c r="K126">
        <v>-1</v>
      </c>
      <c r="L126" t="s">
        <v>287</v>
      </c>
    </row>
    <row r="127" spans="1:12" x14ac:dyDescent="0.65">
      <c r="A127" t="s">
        <v>136</v>
      </c>
      <c r="B127" t="s">
        <v>295</v>
      </c>
      <c r="C127">
        <v>6</v>
      </c>
      <c r="D127" s="26" t="s">
        <v>115</v>
      </c>
      <c r="E127" s="26" t="s">
        <v>115</v>
      </c>
      <c r="F127">
        <v>1633.9000244140625</v>
      </c>
      <c r="G127">
        <v>118</v>
      </c>
      <c r="H127">
        <v>337.89999389648438</v>
      </c>
      <c r="I127">
        <v>202</v>
      </c>
      <c r="J127" t="s">
        <v>296</v>
      </c>
      <c r="K127">
        <v>-1</v>
      </c>
    </row>
    <row r="128" spans="1:12" x14ac:dyDescent="0.65">
      <c r="A128" t="s">
        <v>136</v>
      </c>
      <c r="B128" t="s">
        <v>297</v>
      </c>
      <c r="C128">
        <v>13</v>
      </c>
      <c r="D128" s="26" t="s">
        <v>115</v>
      </c>
      <c r="E128" s="26" t="s">
        <v>115</v>
      </c>
      <c r="F128">
        <v>1633.9000244140625</v>
      </c>
      <c r="G128">
        <v>118</v>
      </c>
      <c r="H128">
        <v>337.89999389648438</v>
      </c>
      <c r="I128">
        <v>202</v>
      </c>
      <c r="J128" t="s">
        <v>296</v>
      </c>
      <c r="K128">
        <v>-1</v>
      </c>
      <c r="L128" t="s">
        <v>295</v>
      </c>
    </row>
    <row r="129" spans="1:12" x14ac:dyDescent="0.65">
      <c r="A129" t="s">
        <v>136</v>
      </c>
      <c r="B129" t="s">
        <v>78</v>
      </c>
      <c r="C129">
        <v>1</v>
      </c>
      <c r="D129" s="26" t="s">
        <v>298</v>
      </c>
      <c r="E129" s="26" t="s">
        <v>176</v>
      </c>
      <c r="F129">
        <v>1635.0999755859375</v>
      </c>
      <c r="G129">
        <v>275</v>
      </c>
      <c r="H129">
        <v>177</v>
      </c>
      <c r="I129">
        <v>199</v>
      </c>
      <c r="J129" t="s">
        <v>296</v>
      </c>
      <c r="K129">
        <v>-1</v>
      </c>
      <c r="L129" t="s">
        <v>295</v>
      </c>
    </row>
    <row r="130" spans="1:12" x14ac:dyDescent="0.65">
      <c r="A130" t="s">
        <v>136</v>
      </c>
      <c r="B130" t="s">
        <v>299</v>
      </c>
      <c r="C130">
        <v>1</v>
      </c>
      <c r="D130" s="26" t="s">
        <v>300</v>
      </c>
      <c r="E130" s="26" t="s">
        <v>180</v>
      </c>
      <c r="F130">
        <v>1814.699951171875</v>
      </c>
      <c r="G130">
        <v>119.30000305175781</v>
      </c>
      <c r="H130">
        <v>336.20001220703125</v>
      </c>
      <c r="I130">
        <v>20</v>
      </c>
      <c r="J130" t="s">
        <v>296</v>
      </c>
      <c r="K130">
        <v>-1</v>
      </c>
      <c r="L130" t="s">
        <v>295</v>
      </c>
    </row>
    <row r="131" spans="1:12" x14ac:dyDescent="0.65">
      <c r="A131" t="s">
        <v>136</v>
      </c>
      <c r="B131" t="s">
        <v>301</v>
      </c>
      <c r="C131">
        <v>9</v>
      </c>
      <c r="D131" s="26" t="s">
        <v>115</v>
      </c>
      <c r="E131" s="26" t="s">
        <v>115</v>
      </c>
      <c r="F131">
        <v>1813.4000244140625</v>
      </c>
      <c r="G131">
        <v>126.09999847412109</v>
      </c>
      <c r="H131">
        <v>323.39999389648438</v>
      </c>
      <c r="I131">
        <v>0.30000001192092896</v>
      </c>
      <c r="J131" t="s">
        <v>296</v>
      </c>
      <c r="K131">
        <v>-1</v>
      </c>
      <c r="L131" t="s">
        <v>295</v>
      </c>
    </row>
    <row r="132" spans="1:12" x14ac:dyDescent="0.65">
      <c r="A132" t="s">
        <v>136</v>
      </c>
      <c r="B132" t="s">
        <v>302</v>
      </c>
      <c r="C132">
        <v>17</v>
      </c>
      <c r="D132" s="26" t="s">
        <v>115</v>
      </c>
      <c r="E132" s="26" t="s">
        <v>44</v>
      </c>
      <c r="F132">
        <v>1783.699951171875</v>
      </c>
      <c r="G132">
        <v>144.89999389648438</v>
      </c>
      <c r="H132">
        <v>102.90000152587891</v>
      </c>
      <c r="I132">
        <v>29.700000762939453</v>
      </c>
      <c r="J132" t="s">
        <v>296</v>
      </c>
      <c r="K132">
        <v>-1</v>
      </c>
      <c r="L132" t="s">
        <v>295</v>
      </c>
    </row>
    <row r="133" spans="1:12" x14ac:dyDescent="0.65">
      <c r="A133" t="s">
        <v>136</v>
      </c>
      <c r="B133" t="s">
        <v>303</v>
      </c>
      <c r="C133">
        <v>6</v>
      </c>
      <c r="D133" s="26" t="s">
        <v>115</v>
      </c>
      <c r="E133" s="26" t="s">
        <v>115</v>
      </c>
      <c r="F133">
        <v>1633.9000244140625</v>
      </c>
      <c r="G133">
        <v>505</v>
      </c>
      <c r="H133">
        <v>338.20001220703125</v>
      </c>
      <c r="I133">
        <v>202</v>
      </c>
      <c r="J133" t="s">
        <v>304</v>
      </c>
      <c r="K133">
        <v>-1</v>
      </c>
    </row>
    <row r="134" spans="1:12" x14ac:dyDescent="0.65">
      <c r="A134" t="s">
        <v>136</v>
      </c>
      <c r="B134" t="s">
        <v>305</v>
      </c>
      <c r="C134">
        <v>13</v>
      </c>
      <c r="D134" s="26" t="s">
        <v>115</v>
      </c>
      <c r="E134" s="26" t="s">
        <v>115</v>
      </c>
      <c r="F134">
        <v>1633.9000244140625</v>
      </c>
      <c r="G134">
        <v>505</v>
      </c>
      <c r="H134">
        <v>338.20001220703125</v>
      </c>
      <c r="I134">
        <v>202</v>
      </c>
      <c r="J134" t="s">
        <v>304</v>
      </c>
      <c r="K134">
        <v>-1</v>
      </c>
      <c r="L134" t="s">
        <v>303</v>
      </c>
    </row>
    <row r="135" spans="1:12" x14ac:dyDescent="0.65">
      <c r="A135" t="s">
        <v>136</v>
      </c>
      <c r="B135" t="s">
        <v>68</v>
      </c>
      <c r="C135">
        <v>1</v>
      </c>
      <c r="D135" s="26" t="s">
        <v>306</v>
      </c>
      <c r="E135" s="26" t="s">
        <v>176</v>
      </c>
      <c r="F135">
        <v>1635.0999755859375</v>
      </c>
      <c r="G135">
        <v>662.4000244140625</v>
      </c>
      <c r="H135">
        <v>174.80000305175781</v>
      </c>
      <c r="I135">
        <v>199</v>
      </c>
      <c r="J135" t="s">
        <v>304</v>
      </c>
      <c r="K135">
        <v>-1</v>
      </c>
      <c r="L135" t="s">
        <v>303</v>
      </c>
    </row>
    <row r="136" spans="1:12" x14ac:dyDescent="0.65">
      <c r="A136" t="s">
        <v>136</v>
      </c>
      <c r="B136" t="s">
        <v>307</v>
      </c>
      <c r="C136">
        <v>1</v>
      </c>
      <c r="D136" s="26" t="s">
        <v>308</v>
      </c>
      <c r="E136" s="26" t="s">
        <v>180</v>
      </c>
      <c r="F136">
        <v>1814.199951171875</v>
      </c>
      <c r="G136">
        <v>506</v>
      </c>
      <c r="H136">
        <v>334.5</v>
      </c>
      <c r="I136">
        <v>18.299999237060547</v>
      </c>
      <c r="J136" t="s">
        <v>304</v>
      </c>
      <c r="K136">
        <v>-1</v>
      </c>
      <c r="L136" t="s">
        <v>303</v>
      </c>
    </row>
    <row r="137" spans="1:12" x14ac:dyDescent="0.65">
      <c r="A137" t="s">
        <v>136</v>
      </c>
      <c r="B137" t="s">
        <v>309</v>
      </c>
      <c r="C137">
        <v>9</v>
      </c>
      <c r="D137" s="26" t="s">
        <v>115</v>
      </c>
      <c r="E137" s="26" t="s">
        <v>115</v>
      </c>
      <c r="F137">
        <v>1812.800048828125</v>
      </c>
      <c r="G137">
        <v>511.70001220703125</v>
      </c>
      <c r="H137">
        <v>324.20001220703125</v>
      </c>
      <c r="I137">
        <v>0</v>
      </c>
      <c r="J137" t="s">
        <v>304</v>
      </c>
      <c r="K137">
        <v>-1</v>
      </c>
      <c r="L137" t="s">
        <v>303</v>
      </c>
    </row>
    <row r="138" spans="1:12" x14ac:dyDescent="0.65">
      <c r="A138" t="s">
        <v>136</v>
      </c>
      <c r="B138" t="s">
        <v>310</v>
      </c>
      <c r="C138">
        <v>17</v>
      </c>
      <c r="D138" s="26" t="s">
        <v>115</v>
      </c>
      <c r="E138" s="26" t="s">
        <v>45</v>
      </c>
      <c r="F138">
        <v>1779</v>
      </c>
      <c r="G138">
        <v>532.4000244140625</v>
      </c>
      <c r="H138">
        <v>103</v>
      </c>
      <c r="I138">
        <v>34.599998474121094</v>
      </c>
      <c r="J138" t="s">
        <v>304</v>
      </c>
      <c r="K138">
        <v>-1</v>
      </c>
      <c r="L138" t="s">
        <v>303</v>
      </c>
    </row>
    <row r="139" spans="1:12" x14ac:dyDescent="0.65">
      <c r="A139" t="s">
        <v>136</v>
      </c>
      <c r="B139" t="s">
        <v>311</v>
      </c>
      <c r="C139">
        <v>6</v>
      </c>
      <c r="D139" s="26" t="s">
        <v>115</v>
      </c>
      <c r="E139" s="26" t="s">
        <v>115</v>
      </c>
      <c r="F139">
        <v>1850.800048828125</v>
      </c>
      <c r="G139">
        <v>118</v>
      </c>
      <c r="H139">
        <v>337.89999389648438</v>
      </c>
      <c r="I139">
        <v>202.69999694824219</v>
      </c>
      <c r="J139" t="s">
        <v>312</v>
      </c>
      <c r="K139">
        <v>-1</v>
      </c>
    </row>
    <row r="140" spans="1:12" x14ac:dyDescent="0.65">
      <c r="A140" t="s">
        <v>136</v>
      </c>
      <c r="B140" t="s">
        <v>313</v>
      </c>
      <c r="C140">
        <v>13</v>
      </c>
      <c r="D140" s="26" t="s">
        <v>115</v>
      </c>
      <c r="E140" s="26" t="s">
        <v>115</v>
      </c>
      <c r="F140">
        <v>1850.800048828125</v>
      </c>
      <c r="G140">
        <v>118</v>
      </c>
      <c r="H140">
        <v>337.89999389648438</v>
      </c>
      <c r="I140">
        <v>202</v>
      </c>
      <c r="J140" t="s">
        <v>312</v>
      </c>
      <c r="K140">
        <v>-1</v>
      </c>
      <c r="L140" t="s">
        <v>311</v>
      </c>
    </row>
    <row r="141" spans="1:12" x14ac:dyDescent="0.65">
      <c r="A141" t="s">
        <v>136</v>
      </c>
      <c r="B141" t="s">
        <v>79</v>
      </c>
      <c r="C141">
        <v>1</v>
      </c>
      <c r="D141" s="26" t="s">
        <v>314</v>
      </c>
      <c r="E141" s="26" t="s">
        <v>176</v>
      </c>
      <c r="F141">
        <v>1852.0999755859375</v>
      </c>
      <c r="G141">
        <v>274.39999389648438</v>
      </c>
      <c r="H141">
        <v>175.10000610351563</v>
      </c>
      <c r="I141">
        <v>201.39999389648438</v>
      </c>
      <c r="J141" t="s">
        <v>312</v>
      </c>
      <c r="K141">
        <v>-1</v>
      </c>
      <c r="L141" t="s">
        <v>311</v>
      </c>
    </row>
    <row r="142" spans="1:12" x14ac:dyDescent="0.65">
      <c r="A142" t="s">
        <v>136</v>
      </c>
      <c r="B142" t="s">
        <v>315</v>
      </c>
      <c r="C142">
        <v>1</v>
      </c>
      <c r="D142" s="26" t="s">
        <v>316</v>
      </c>
      <c r="E142" s="26" t="s">
        <v>180</v>
      </c>
      <c r="F142">
        <v>2031.9000244140625</v>
      </c>
      <c r="G142">
        <v>118.80000305175781</v>
      </c>
      <c r="H142">
        <v>336.20001220703125</v>
      </c>
      <c r="I142">
        <v>18.299999237060547</v>
      </c>
      <c r="J142" t="s">
        <v>312</v>
      </c>
      <c r="K142">
        <v>-1</v>
      </c>
      <c r="L142" t="s">
        <v>311</v>
      </c>
    </row>
    <row r="143" spans="1:12" x14ac:dyDescent="0.65">
      <c r="A143" t="s">
        <v>136</v>
      </c>
      <c r="B143" t="s">
        <v>317</v>
      </c>
      <c r="C143">
        <v>9</v>
      </c>
      <c r="D143" s="26" t="s">
        <v>115</v>
      </c>
      <c r="E143" s="26" t="s">
        <v>115</v>
      </c>
      <c r="F143">
        <v>2030</v>
      </c>
      <c r="G143">
        <v>125.19999694824219</v>
      </c>
      <c r="H143">
        <v>323.39999389648438</v>
      </c>
      <c r="I143">
        <v>0.30000001192092896</v>
      </c>
      <c r="J143" t="s">
        <v>312</v>
      </c>
      <c r="K143">
        <v>-1</v>
      </c>
      <c r="L143" t="s">
        <v>311</v>
      </c>
    </row>
    <row r="144" spans="1:12" x14ac:dyDescent="0.65">
      <c r="A144" t="s">
        <v>136</v>
      </c>
      <c r="B144" t="s">
        <v>318</v>
      </c>
      <c r="C144">
        <v>17</v>
      </c>
      <c r="D144" s="26" t="s">
        <v>115</v>
      </c>
      <c r="E144" s="26" t="s">
        <v>46</v>
      </c>
      <c r="F144">
        <v>2000.699951171875</v>
      </c>
      <c r="G144">
        <v>143.30000305175781</v>
      </c>
      <c r="H144">
        <v>102.90000152587891</v>
      </c>
      <c r="I144">
        <v>29.700000762939453</v>
      </c>
      <c r="J144" t="s">
        <v>312</v>
      </c>
      <c r="K144">
        <v>-1</v>
      </c>
      <c r="L144" t="s">
        <v>311</v>
      </c>
    </row>
    <row r="145" spans="1:12" x14ac:dyDescent="0.65">
      <c r="A145" t="s">
        <v>136</v>
      </c>
      <c r="B145" t="s">
        <v>319</v>
      </c>
      <c r="C145">
        <v>6</v>
      </c>
      <c r="D145" s="26" t="s">
        <v>115</v>
      </c>
      <c r="E145" s="26" t="s">
        <v>115</v>
      </c>
      <c r="F145">
        <v>1850.800048828125</v>
      </c>
      <c r="G145">
        <v>505</v>
      </c>
      <c r="H145">
        <v>338.20001220703125</v>
      </c>
      <c r="I145">
        <v>201.80000305175781</v>
      </c>
      <c r="J145" t="s">
        <v>320</v>
      </c>
      <c r="K145">
        <v>-1</v>
      </c>
    </row>
    <row r="146" spans="1:12" x14ac:dyDescent="0.65">
      <c r="A146" t="s">
        <v>136</v>
      </c>
      <c r="B146" t="s">
        <v>321</v>
      </c>
      <c r="C146">
        <v>13</v>
      </c>
      <c r="D146" s="26" t="s">
        <v>115</v>
      </c>
      <c r="E146" s="26" t="s">
        <v>115</v>
      </c>
      <c r="F146">
        <v>1850.800048828125</v>
      </c>
      <c r="G146">
        <v>505</v>
      </c>
      <c r="H146">
        <v>338.20001220703125</v>
      </c>
      <c r="I146">
        <v>201.80000305175781</v>
      </c>
      <c r="J146" t="s">
        <v>320</v>
      </c>
      <c r="K146">
        <v>-1</v>
      </c>
      <c r="L146" t="s">
        <v>319</v>
      </c>
    </row>
    <row r="147" spans="1:12" x14ac:dyDescent="0.65">
      <c r="A147" t="s">
        <v>136</v>
      </c>
      <c r="B147" t="s">
        <v>69</v>
      </c>
      <c r="C147">
        <v>1</v>
      </c>
      <c r="D147" s="26" t="s">
        <v>322</v>
      </c>
      <c r="E147" s="26" t="s">
        <v>176</v>
      </c>
      <c r="F147">
        <v>1851.5</v>
      </c>
      <c r="G147">
        <v>662.70001220703125</v>
      </c>
      <c r="H147">
        <v>175.10000610351563</v>
      </c>
      <c r="I147">
        <v>199.89999389648438</v>
      </c>
      <c r="J147" t="s">
        <v>320</v>
      </c>
      <c r="K147">
        <v>-1</v>
      </c>
      <c r="L147" t="s">
        <v>319</v>
      </c>
    </row>
    <row r="148" spans="1:12" x14ac:dyDescent="0.65">
      <c r="A148" t="s">
        <v>136</v>
      </c>
      <c r="B148" t="s">
        <v>323</v>
      </c>
      <c r="C148">
        <v>1</v>
      </c>
      <c r="D148" s="26" t="s">
        <v>324</v>
      </c>
      <c r="E148" s="26" t="s">
        <v>180</v>
      </c>
      <c r="F148">
        <v>2029.800048828125</v>
      </c>
      <c r="G148">
        <v>505.79998779296875</v>
      </c>
      <c r="H148">
        <v>337.29998779296875</v>
      </c>
      <c r="I148">
        <v>18.299999237060547</v>
      </c>
      <c r="J148" t="s">
        <v>320</v>
      </c>
      <c r="K148">
        <v>-1</v>
      </c>
      <c r="L148" t="s">
        <v>319</v>
      </c>
    </row>
    <row r="149" spans="1:12" x14ac:dyDescent="0.65">
      <c r="A149" t="s">
        <v>136</v>
      </c>
      <c r="B149" t="s">
        <v>325</v>
      </c>
      <c r="C149">
        <v>9</v>
      </c>
      <c r="D149" s="26" t="s">
        <v>115</v>
      </c>
      <c r="E149" s="26" t="s">
        <v>115</v>
      </c>
      <c r="F149">
        <v>2029.800048828125</v>
      </c>
      <c r="G149">
        <v>514</v>
      </c>
      <c r="H149">
        <v>324.20001220703125</v>
      </c>
      <c r="I149">
        <v>0.30000001192092896</v>
      </c>
      <c r="J149" t="s">
        <v>320</v>
      </c>
      <c r="K149">
        <v>-1</v>
      </c>
      <c r="L149" t="s">
        <v>319</v>
      </c>
    </row>
    <row r="150" spans="1:12" x14ac:dyDescent="0.65">
      <c r="A150" t="s">
        <v>136</v>
      </c>
      <c r="B150" t="s">
        <v>326</v>
      </c>
      <c r="C150">
        <v>17</v>
      </c>
      <c r="D150" s="26" t="s">
        <v>115</v>
      </c>
      <c r="E150" s="26" t="s">
        <v>47</v>
      </c>
      <c r="F150">
        <v>1999.4000244140625</v>
      </c>
      <c r="G150">
        <v>530.5</v>
      </c>
      <c r="H150">
        <v>103</v>
      </c>
      <c r="I150">
        <v>34.5</v>
      </c>
      <c r="J150" t="s">
        <v>320</v>
      </c>
      <c r="K150">
        <v>-1</v>
      </c>
      <c r="L150" t="s">
        <v>319</v>
      </c>
    </row>
    <row r="151" spans="1:12" x14ac:dyDescent="0.65">
      <c r="A151" t="s">
        <v>136</v>
      </c>
      <c r="B151" t="s">
        <v>327</v>
      </c>
      <c r="C151">
        <v>6</v>
      </c>
      <c r="D151" s="26" t="s">
        <v>115</v>
      </c>
      <c r="E151" s="26" t="s">
        <v>115</v>
      </c>
      <c r="F151">
        <v>2067.800048828125</v>
      </c>
      <c r="G151">
        <v>118</v>
      </c>
      <c r="H151">
        <v>337.89999389648438</v>
      </c>
      <c r="I151">
        <v>202</v>
      </c>
      <c r="J151" t="s">
        <v>328</v>
      </c>
      <c r="K151">
        <v>-1</v>
      </c>
    </row>
    <row r="152" spans="1:12" x14ac:dyDescent="0.65">
      <c r="A152" t="s">
        <v>136</v>
      </c>
      <c r="B152" t="s">
        <v>329</v>
      </c>
      <c r="C152">
        <v>13</v>
      </c>
      <c r="D152" s="26" t="s">
        <v>115</v>
      </c>
      <c r="E152" s="26" t="s">
        <v>115</v>
      </c>
      <c r="F152">
        <v>2067.800048828125</v>
      </c>
      <c r="G152">
        <v>118</v>
      </c>
      <c r="H152">
        <v>337.89999389648438</v>
      </c>
      <c r="I152">
        <v>202</v>
      </c>
      <c r="J152" t="s">
        <v>328</v>
      </c>
      <c r="K152">
        <v>-1</v>
      </c>
      <c r="L152" t="s">
        <v>327</v>
      </c>
    </row>
    <row r="153" spans="1:12" x14ac:dyDescent="0.65">
      <c r="A153" t="s">
        <v>136</v>
      </c>
      <c r="B153" t="s">
        <v>80</v>
      </c>
      <c r="C153">
        <v>1</v>
      </c>
      <c r="D153" s="26" t="s">
        <v>330</v>
      </c>
      <c r="E153" s="26" t="s">
        <v>176</v>
      </c>
      <c r="F153">
        <v>2068.39990234375</v>
      </c>
      <c r="G153">
        <v>275.29998779296875</v>
      </c>
      <c r="H153">
        <v>175.10000610351563</v>
      </c>
      <c r="I153">
        <v>199.69999694824219</v>
      </c>
      <c r="J153" t="s">
        <v>328</v>
      </c>
      <c r="K153">
        <v>-1</v>
      </c>
      <c r="L153" t="s">
        <v>327</v>
      </c>
    </row>
    <row r="154" spans="1:12" x14ac:dyDescent="0.65">
      <c r="A154" t="s">
        <v>136</v>
      </c>
      <c r="B154" t="s">
        <v>331</v>
      </c>
      <c r="C154">
        <v>1</v>
      </c>
      <c r="D154" s="26" t="s">
        <v>332</v>
      </c>
      <c r="E154" s="26" t="s">
        <v>180</v>
      </c>
      <c r="F154">
        <v>2247.800048828125</v>
      </c>
      <c r="G154">
        <v>118.59999847412109</v>
      </c>
      <c r="H154">
        <v>335.79998779296875</v>
      </c>
      <c r="I154">
        <v>19.5</v>
      </c>
      <c r="J154" t="s">
        <v>328</v>
      </c>
      <c r="K154">
        <v>-1</v>
      </c>
      <c r="L154" t="s">
        <v>327</v>
      </c>
    </row>
    <row r="155" spans="1:12" x14ac:dyDescent="0.65">
      <c r="A155" t="s">
        <v>136</v>
      </c>
      <c r="B155" t="s">
        <v>333</v>
      </c>
      <c r="C155">
        <v>9</v>
      </c>
      <c r="D155" s="26" t="s">
        <v>115</v>
      </c>
      <c r="E155" s="26" t="s">
        <v>115</v>
      </c>
      <c r="F155">
        <v>2248</v>
      </c>
      <c r="G155">
        <v>126.30000305175781</v>
      </c>
      <c r="H155">
        <v>323.10000610351563</v>
      </c>
      <c r="I155">
        <v>0</v>
      </c>
      <c r="J155" t="s">
        <v>328</v>
      </c>
      <c r="K155">
        <v>-1</v>
      </c>
      <c r="L155" t="s">
        <v>327</v>
      </c>
    </row>
    <row r="156" spans="1:12" x14ac:dyDescent="0.65">
      <c r="A156" t="s">
        <v>136</v>
      </c>
      <c r="B156" t="s">
        <v>334</v>
      </c>
      <c r="C156">
        <v>17</v>
      </c>
      <c r="D156" s="26" t="s">
        <v>115</v>
      </c>
      <c r="E156" s="26" t="s">
        <v>48</v>
      </c>
      <c r="F156">
        <v>2218.5</v>
      </c>
      <c r="G156">
        <v>145.60000610351563</v>
      </c>
      <c r="H156">
        <v>102.90000152587891</v>
      </c>
      <c r="I156">
        <v>29.700000762939453</v>
      </c>
      <c r="J156" t="s">
        <v>328</v>
      </c>
      <c r="K156">
        <v>-1</v>
      </c>
      <c r="L156" t="s">
        <v>327</v>
      </c>
    </row>
    <row r="157" spans="1:12" x14ac:dyDescent="0.65">
      <c r="A157" t="s">
        <v>136</v>
      </c>
      <c r="B157" t="s">
        <v>335</v>
      </c>
      <c r="C157">
        <v>6</v>
      </c>
      <c r="D157" s="26" t="s">
        <v>115</v>
      </c>
      <c r="E157" s="26" t="s">
        <v>115</v>
      </c>
      <c r="F157">
        <v>2067.800048828125</v>
      </c>
      <c r="G157">
        <v>505</v>
      </c>
      <c r="H157">
        <v>338.20001220703125</v>
      </c>
      <c r="I157">
        <v>201.80000305175781</v>
      </c>
      <c r="J157" t="s">
        <v>336</v>
      </c>
      <c r="K157">
        <v>-1</v>
      </c>
    </row>
    <row r="158" spans="1:12" x14ac:dyDescent="0.65">
      <c r="A158" t="s">
        <v>136</v>
      </c>
      <c r="B158" t="s">
        <v>337</v>
      </c>
      <c r="C158">
        <v>13</v>
      </c>
      <c r="D158" s="26" t="s">
        <v>115</v>
      </c>
      <c r="E158" s="26" t="s">
        <v>115</v>
      </c>
      <c r="F158">
        <v>2067.800048828125</v>
      </c>
      <c r="G158">
        <v>505</v>
      </c>
      <c r="H158">
        <v>338.20001220703125</v>
      </c>
      <c r="I158">
        <v>201.80000305175781</v>
      </c>
      <c r="J158" t="s">
        <v>336</v>
      </c>
      <c r="K158">
        <v>-1</v>
      </c>
      <c r="L158" t="s">
        <v>335</v>
      </c>
    </row>
    <row r="159" spans="1:12" x14ac:dyDescent="0.65">
      <c r="A159" t="s">
        <v>136</v>
      </c>
      <c r="B159" t="s">
        <v>70</v>
      </c>
      <c r="C159">
        <v>1</v>
      </c>
      <c r="D159" s="26" t="s">
        <v>338</v>
      </c>
      <c r="E159" s="26" t="s">
        <v>176</v>
      </c>
      <c r="F159">
        <v>2068.39990234375</v>
      </c>
      <c r="G159">
        <v>663.5999755859375</v>
      </c>
      <c r="H159">
        <v>173.60000610351563</v>
      </c>
      <c r="I159">
        <v>199.60000610351563</v>
      </c>
      <c r="J159" t="s">
        <v>336</v>
      </c>
      <c r="K159">
        <v>-1</v>
      </c>
      <c r="L159" t="s">
        <v>335</v>
      </c>
    </row>
    <row r="160" spans="1:12" x14ac:dyDescent="0.65">
      <c r="A160" t="s">
        <v>136</v>
      </c>
      <c r="B160" t="s">
        <v>339</v>
      </c>
      <c r="C160">
        <v>1</v>
      </c>
      <c r="D160" s="26" t="s">
        <v>340</v>
      </c>
      <c r="E160" s="26" t="s">
        <v>180</v>
      </c>
      <c r="F160">
        <v>2249</v>
      </c>
      <c r="G160">
        <v>507.29998779296875</v>
      </c>
      <c r="H160">
        <v>335.29998779296875</v>
      </c>
      <c r="I160">
        <v>18.700000762939453</v>
      </c>
      <c r="J160" t="s">
        <v>336</v>
      </c>
      <c r="K160">
        <v>-1</v>
      </c>
      <c r="L160" t="s">
        <v>335</v>
      </c>
    </row>
    <row r="161" spans="1:12" x14ac:dyDescent="0.65">
      <c r="A161" t="s">
        <v>136</v>
      </c>
      <c r="B161" t="s">
        <v>341</v>
      </c>
      <c r="C161">
        <v>17</v>
      </c>
      <c r="D161" s="26" t="s">
        <v>115</v>
      </c>
      <c r="E161" s="26" t="s">
        <v>49</v>
      </c>
      <c r="F161">
        <v>2215.800048828125</v>
      </c>
      <c r="G161">
        <v>531</v>
      </c>
      <c r="H161">
        <v>105</v>
      </c>
      <c r="I161">
        <v>34.5</v>
      </c>
      <c r="J161" t="s">
        <v>336</v>
      </c>
      <c r="K161">
        <v>-1</v>
      </c>
      <c r="L161" t="s">
        <v>335</v>
      </c>
    </row>
    <row r="162" spans="1:12" x14ac:dyDescent="0.65">
      <c r="A162" t="s">
        <v>136</v>
      </c>
      <c r="B162" t="s">
        <v>342</v>
      </c>
      <c r="C162">
        <v>9</v>
      </c>
      <c r="D162" s="26" t="s">
        <v>115</v>
      </c>
      <c r="E162" s="26" t="s">
        <v>115</v>
      </c>
      <c r="F162">
        <v>2248.800048828125</v>
      </c>
      <c r="G162">
        <v>513.0999755859375</v>
      </c>
      <c r="H162">
        <v>324.10000610351563</v>
      </c>
      <c r="I162">
        <v>0</v>
      </c>
      <c r="J162" t="s">
        <v>336</v>
      </c>
      <c r="K162">
        <v>-1</v>
      </c>
      <c r="L162" t="s">
        <v>335</v>
      </c>
    </row>
    <row r="163" spans="1:12" x14ac:dyDescent="0.65">
      <c r="A163" t="s">
        <v>136</v>
      </c>
      <c r="B163" t="s">
        <v>343</v>
      </c>
      <c r="C163">
        <v>6</v>
      </c>
      <c r="D163" s="26" t="s">
        <v>115</v>
      </c>
      <c r="E163" s="26" t="s">
        <v>115</v>
      </c>
      <c r="F163">
        <v>2284.699951171875</v>
      </c>
      <c r="G163">
        <v>117.59999847412109</v>
      </c>
      <c r="H163">
        <v>338.29998779296875</v>
      </c>
      <c r="I163">
        <v>202.30000305175781</v>
      </c>
      <c r="J163" t="s">
        <v>344</v>
      </c>
      <c r="K163">
        <v>-1</v>
      </c>
    </row>
    <row r="164" spans="1:12" x14ac:dyDescent="0.65">
      <c r="A164" t="s">
        <v>136</v>
      </c>
      <c r="B164" t="s">
        <v>345</v>
      </c>
      <c r="C164">
        <v>13</v>
      </c>
      <c r="D164" s="26" t="s">
        <v>115</v>
      </c>
      <c r="E164" s="26" t="s">
        <v>115</v>
      </c>
      <c r="F164">
        <v>2284.699951171875</v>
      </c>
      <c r="G164">
        <v>118</v>
      </c>
      <c r="H164">
        <v>337.89999389648438</v>
      </c>
      <c r="I164">
        <v>202.30000305175781</v>
      </c>
      <c r="J164" t="s">
        <v>344</v>
      </c>
      <c r="K164">
        <v>-1</v>
      </c>
      <c r="L164" t="s">
        <v>343</v>
      </c>
    </row>
    <row r="165" spans="1:12" x14ac:dyDescent="0.65">
      <c r="A165" t="s">
        <v>136</v>
      </c>
      <c r="B165" t="s">
        <v>81</v>
      </c>
      <c r="C165">
        <v>1</v>
      </c>
      <c r="D165" s="26" t="s">
        <v>346</v>
      </c>
      <c r="E165" s="26" t="s">
        <v>176</v>
      </c>
      <c r="F165">
        <v>2285.300048828125</v>
      </c>
      <c r="G165">
        <v>275</v>
      </c>
      <c r="H165">
        <v>175.5</v>
      </c>
      <c r="I165">
        <v>199.69999694824219</v>
      </c>
      <c r="J165" t="s">
        <v>344</v>
      </c>
      <c r="K165">
        <v>-1</v>
      </c>
      <c r="L165" t="s">
        <v>343</v>
      </c>
    </row>
    <row r="166" spans="1:12" x14ac:dyDescent="0.65">
      <c r="A166" t="s">
        <v>136</v>
      </c>
      <c r="B166" t="s">
        <v>347</v>
      </c>
      <c r="C166">
        <v>1</v>
      </c>
      <c r="D166" s="26" t="s">
        <v>348</v>
      </c>
      <c r="E166" s="26" t="s">
        <v>180</v>
      </c>
      <c r="F166">
        <v>2465.5</v>
      </c>
      <c r="G166">
        <v>117.59999847412109</v>
      </c>
      <c r="H166">
        <v>337.39999389648438</v>
      </c>
      <c r="I166">
        <v>16.799999237060547</v>
      </c>
      <c r="J166" t="s">
        <v>344</v>
      </c>
      <c r="K166">
        <v>-1</v>
      </c>
      <c r="L166" t="s">
        <v>343</v>
      </c>
    </row>
    <row r="167" spans="1:12" x14ac:dyDescent="0.65">
      <c r="A167" t="s">
        <v>136</v>
      </c>
      <c r="B167" t="s">
        <v>349</v>
      </c>
      <c r="C167">
        <v>9</v>
      </c>
      <c r="D167" s="26" t="s">
        <v>115</v>
      </c>
      <c r="E167" s="26" t="s">
        <v>115</v>
      </c>
      <c r="F167">
        <v>2466.10009765625</v>
      </c>
      <c r="G167">
        <v>125.30000305175781</v>
      </c>
      <c r="H167">
        <v>323.10000610351563</v>
      </c>
      <c r="I167">
        <v>0</v>
      </c>
      <c r="J167" t="s">
        <v>344</v>
      </c>
      <c r="K167">
        <v>-1</v>
      </c>
      <c r="L167" t="s">
        <v>343</v>
      </c>
    </row>
    <row r="168" spans="1:12" x14ac:dyDescent="0.65">
      <c r="A168" t="s">
        <v>136</v>
      </c>
      <c r="B168" t="s">
        <v>350</v>
      </c>
      <c r="C168">
        <v>17</v>
      </c>
      <c r="D168" s="26" t="s">
        <v>115</v>
      </c>
      <c r="E168" s="26" t="s">
        <v>50</v>
      </c>
      <c r="F168">
        <v>2436.5</v>
      </c>
      <c r="G168">
        <v>144.69999694824219</v>
      </c>
      <c r="H168">
        <v>105</v>
      </c>
      <c r="I168">
        <v>29.700000762939453</v>
      </c>
      <c r="J168" t="s">
        <v>344</v>
      </c>
      <c r="K168">
        <v>-1</v>
      </c>
      <c r="L168" t="s">
        <v>343</v>
      </c>
    </row>
    <row r="169" spans="1:12" x14ac:dyDescent="0.65">
      <c r="A169" t="s">
        <v>136</v>
      </c>
      <c r="B169" t="s">
        <v>351</v>
      </c>
      <c r="C169">
        <v>6</v>
      </c>
      <c r="D169" s="26" t="s">
        <v>115</v>
      </c>
      <c r="E169" s="26" t="s">
        <v>115</v>
      </c>
      <c r="F169">
        <v>2284.699951171875</v>
      </c>
      <c r="G169">
        <v>505</v>
      </c>
      <c r="H169">
        <v>338.20001220703125</v>
      </c>
      <c r="I169">
        <v>202.30000305175781</v>
      </c>
      <c r="J169" t="s">
        <v>352</v>
      </c>
      <c r="K169">
        <v>-1</v>
      </c>
    </row>
    <row r="170" spans="1:12" x14ac:dyDescent="0.65">
      <c r="A170" t="s">
        <v>136</v>
      </c>
      <c r="B170" t="s">
        <v>353</v>
      </c>
      <c r="C170">
        <v>13</v>
      </c>
      <c r="D170" s="26" t="s">
        <v>115</v>
      </c>
      <c r="E170" s="26" t="s">
        <v>115</v>
      </c>
      <c r="F170">
        <v>2284.699951171875</v>
      </c>
      <c r="G170">
        <v>505</v>
      </c>
      <c r="H170">
        <v>338.20001220703125</v>
      </c>
      <c r="I170">
        <v>202.30000305175781</v>
      </c>
      <c r="J170" t="s">
        <v>352</v>
      </c>
      <c r="K170">
        <v>-1</v>
      </c>
      <c r="L170" t="s">
        <v>351</v>
      </c>
    </row>
    <row r="171" spans="1:12" x14ac:dyDescent="0.65">
      <c r="A171" t="s">
        <v>136</v>
      </c>
      <c r="B171" t="s">
        <v>71</v>
      </c>
      <c r="C171">
        <v>1</v>
      </c>
      <c r="D171" s="26" t="s">
        <v>354</v>
      </c>
      <c r="E171" s="26" t="s">
        <v>176</v>
      </c>
      <c r="F171">
        <v>2285.39990234375</v>
      </c>
      <c r="G171">
        <v>663.20001220703125</v>
      </c>
      <c r="H171">
        <v>174.39999389648438</v>
      </c>
      <c r="I171">
        <v>200.80000305175781</v>
      </c>
      <c r="J171" t="s">
        <v>352</v>
      </c>
      <c r="K171">
        <v>-1</v>
      </c>
      <c r="L171" t="s">
        <v>351</v>
      </c>
    </row>
    <row r="172" spans="1:12" x14ac:dyDescent="0.65">
      <c r="A172" t="s">
        <v>136</v>
      </c>
      <c r="B172" t="s">
        <v>355</v>
      </c>
      <c r="C172">
        <v>1</v>
      </c>
      <c r="D172" s="26" t="s">
        <v>356</v>
      </c>
      <c r="E172" s="26" t="s">
        <v>180</v>
      </c>
      <c r="F172">
        <v>2465.60009765625</v>
      </c>
      <c r="G172">
        <v>506</v>
      </c>
      <c r="H172">
        <v>335.29998779296875</v>
      </c>
      <c r="I172">
        <v>19.700000762939453</v>
      </c>
      <c r="J172" t="s">
        <v>352</v>
      </c>
      <c r="K172">
        <v>-1</v>
      </c>
      <c r="L172" t="s">
        <v>351</v>
      </c>
    </row>
    <row r="173" spans="1:12" x14ac:dyDescent="0.65">
      <c r="A173" t="s">
        <v>136</v>
      </c>
      <c r="B173" t="s">
        <v>357</v>
      </c>
      <c r="C173">
        <v>9</v>
      </c>
      <c r="D173" s="26" t="s">
        <v>115</v>
      </c>
      <c r="E173" s="26" t="s">
        <v>115</v>
      </c>
      <c r="F173">
        <v>2465</v>
      </c>
      <c r="G173">
        <v>512.9000244140625</v>
      </c>
      <c r="H173">
        <v>324.10000610351563</v>
      </c>
      <c r="I173">
        <v>0</v>
      </c>
      <c r="J173" t="s">
        <v>352</v>
      </c>
      <c r="K173">
        <v>-1</v>
      </c>
      <c r="L173" t="s">
        <v>351</v>
      </c>
    </row>
    <row r="174" spans="1:12" x14ac:dyDescent="0.65">
      <c r="A174" t="s">
        <v>136</v>
      </c>
      <c r="B174" t="s">
        <v>358</v>
      </c>
      <c r="C174">
        <v>17</v>
      </c>
      <c r="D174" s="26" t="s">
        <v>115</v>
      </c>
      <c r="E174" s="26" t="s">
        <v>51</v>
      </c>
      <c r="F174">
        <v>2434.89990234375</v>
      </c>
      <c r="G174">
        <v>529.0999755859375</v>
      </c>
      <c r="H174">
        <v>105.09999847412109</v>
      </c>
      <c r="I174">
        <v>34.599998474121094</v>
      </c>
      <c r="J174" t="s">
        <v>352</v>
      </c>
      <c r="K174">
        <v>-1</v>
      </c>
      <c r="L174" t="s">
        <v>351</v>
      </c>
    </row>
    <row r="175" spans="1:12" x14ac:dyDescent="0.65">
      <c r="A175" t="s">
        <v>136</v>
      </c>
      <c r="B175" t="s">
        <v>82</v>
      </c>
      <c r="C175">
        <v>1</v>
      </c>
      <c r="D175" s="26" t="s">
        <v>359</v>
      </c>
      <c r="E175" s="26" t="s">
        <v>176</v>
      </c>
      <c r="F175">
        <v>2506.800048828125</v>
      </c>
      <c r="G175">
        <v>274</v>
      </c>
      <c r="H175">
        <v>175.69999694824219</v>
      </c>
      <c r="I175">
        <v>199.19999694824219</v>
      </c>
      <c r="J175" t="s">
        <v>141</v>
      </c>
      <c r="K175">
        <v>-1</v>
      </c>
    </row>
    <row r="176" spans="1:12" x14ac:dyDescent="0.65">
      <c r="A176" t="s">
        <v>136</v>
      </c>
      <c r="B176" t="s">
        <v>360</v>
      </c>
      <c r="C176">
        <v>1</v>
      </c>
      <c r="D176" s="26" t="s">
        <v>361</v>
      </c>
      <c r="E176" s="26" t="s">
        <v>180</v>
      </c>
      <c r="F176">
        <v>2681.10009765625</v>
      </c>
      <c r="G176">
        <v>120.40000152587891</v>
      </c>
      <c r="H176">
        <v>334.5</v>
      </c>
      <c r="I176">
        <v>21.399999618530273</v>
      </c>
      <c r="J176" t="s">
        <v>362</v>
      </c>
      <c r="K176">
        <v>-1</v>
      </c>
    </row>
    <row r="177" spans="1:12" x14ac:dyDescent="0.65">
      <c r="A177" t="s">
        <v>136</v>
      </c>
      <c r="B177" t="s">
        <v>363</v>
      </c>
      <c r="C177">
        <v>17</v>
      </c>
      <c r="D177" s="26" t="s">
        <v>115</v>
      </c>
      <c r="E177" s="26" t="s">
        <v>52</v>
      </c>
      <c r="F177">
        <v>2650.5</v>
      </c>
      <c r="G177">
        <v>144.60000610351563</v>
      </c>
      <c r="H177">
        <v>105.09999847412109</v>
      </c>
      <c r="I177">
        <v>29.799999237060547</v>
      </c>
      <c r="J177" t="s">
        <v>364</v>
      </c>
      <c r="K177">
        <v>-1</v>
      </c>
    </row>
    <row r="178" spans="1:12" x14ac:dyDescent="0.65">
      <c r="A178" t="s">
        <v>136</v>
      </c>
      <c r="B178" t="s">
        <v>365</v>
      </c>
      <c r="C178">
        <v>9</v>
      </c>
      <c r="D178" s="26" t="s">
        <v>115</v>
      </c>
      <c r="E178" s="26" t="s">
        <v>115</v>
      </c>
      <c r="F178">
        <v>2679.5</v>
      </c>
      <c r="G178">
        <v>508.10000610351563</v>
      </c>
      <c r="H178">
        <v>324.10000610351563</v>
      </c>
      <c r="I178">
        <v>0</v>
      </c>
      <c r="J178" t="s">
        <v>366</v>
      </c>
      <c r="K178">
        <v>-1</v>
      </c>
    </row>
    <row r="179" spans="1:12" x14ac:dyDescent="0.65">
      <c r="A179" t="s">
        <v>136</v>
      </c>
      <c r="B179" t="s">
        <v>367</v>
      </c>
      <c r="C179">
        <v>9</v>
      </c>
      <c r="D179" s="26" t="s">
        <v>115</v>
      </c>
      <c r="E179" s="26" t="s">
        <v>115</v>
      </c>
      <c r="F179">
        <v>2498.699951171875</v>
      </c>
      <c r="G179">
        <v>505</v>
      </c>
      <c r="H179">
        <v>323.5</v>
      </c>
      <c r="I179">
        <v>0</v>
      </c>
      <c r="J179" t="s">
        <v>368</v>
      </c>
      <c r="K179">
        <v>-1</v>
      </c>
    </row>
    <row r="180" spans="1:12" x14ac:dyDescent="0.65">
      <c r="A180" t="s">
        <v>136</v>
      </c>
      <c r="B180" t="s">
        <v>369</v>
      </c>
      <c r="C180">
        <v>9</v>
      </c>
      <c r="D180" s="26" t="s">
        <v>115</v>
      </c>
      <c r="E180" s="26" t="s">
        <v>115</v>
      </c>
      <c r="F180">
        <v>2680.699951171875</v>
      </c>
      <c r="G180">
        <v>127.09999847412109</v>
      </c>
      <c r="H180">
        <v>323.10000610351563</v>
      </c>
      <c r="I180">
        <v>0</v>
      </c>
      <c r="J180" t="s">
        <v>370</v>
      </c>
      <c r="K180">
        <v>-1</v>
      </c>
    </row>
    <row r="181" spans="1:12" x14ac:dyDescent="0.65">
      <c r="A181" t="s">
        <v>136</v>
      </c>
      <c r="B181" t="s">
        <v>371</v>
      </c>
      <c r="C181">
        <v>6</v>
      </c>
      <c r="D181" s="26" t="s">
        <v>115</v>
      </c>
      <c r="E181" s="26" t="s">
        <v>115</v>
      </c>
      <c r="F181">
        <v>2499.89990234375</v>
      </c>
      <c r="G181">
        <v>503.70001220703125</v>
      </c>
      <c r="H181">
        <v>339.5</v>
      </c>
      <c r="I181">
        <v>203.89999389648438</v>
      </c>
      <c r="J181" t="s">
        <v>368</v>
      </c>
      <c r="K181">
        <v>-1</v>
      </c>
    </row>
    <row r="182" spans="1:12" x14ac:dyDescent="0.65">
      <c r="A182" t="s">
        <v>136</v>
      </c>
      <c r="B182" t="s">
        <v>372</v>
      </c>
      <c r="C182">
        <v>13</v>
      </c>
      <c r="D182" s="26" t="s">
        <v>115</v>
      </c>
      <c r="E182" s="26" t="s">
        <v>115</v>
      </c>
      <c r="F182">
        <v>2501.60009765625</v>
      </c>
      <c r="G182">
        <v>505</v>
      </c>
      <c r="H182">
        <v>338.20001220703125</v>
      </c>
      <c r="I182">
        <v>202.10000610351563</v>
      </c>
      <c r="J182" t="s">
        <v>368</v>
      </c>
      <c r="K182">
        <v>-1</v>
      </c>
      <c r="L182" t="s">
        <v>371</v>
      </c>
    </row>
    <row r="183" spans="1:12" x14ac:dyDescent="0.65">
      <c r="A183" t="s">
        <v>136</v>
      </c>
      <c r="B183" t="s">
        <v>373</v>
      </c>
      <c r="C183">
        <v>1</v>
      </c>
      <c r="D183" s="26" t="s">
        <v>374</v>
      </c>
      <c r="E183" s="26" t="s">
        <v>180</v>
      </c>
      <c r="F183">
        <v>2681.39990234375</v>
      </c>
      <c r="G183">
        <v>503.70001220703125</v>
      </c>
      <c r="H183">
        <v>335.29998779296875</v>
      </c>
      <c r="I183">
        <v>19</v>
      </c>
      <c r="J183" t="s">
        <v>368</v>
      </c>
      <c r="K183">
        <v>-1</v>
      </c>
      <c r="L183" t="s">
        <v>371</v>
      </c>
    </row>
    <row r="184" spans="1:12" x14ac:dyDescent="0.65">
      <c r="A184" t="s">
        <v>136</v>
      </c>
      <c r="B184" t="s">
        <v>375</v>
      </c>
      <c r="C184">
        <v>17</v>
      </c>
      <c r="D184" s="26" t="s">
        <v>115</v>
      </c>
      <c r="E184" s="26" t="s">
        <v>92</v>
      </c>
      <c r="F184">
        <v>2649.199951171875</v>
      </c>
      <c r="G184">
        <v>524.70001220703125</v>
      </c>
      <c r="H184">
        <v>103.09999847412109</v>
      </c>
      <c r="I184">
        <v>34.5</v>
      </c>
      <c r="J184" t="s">
        <v>368</v>
      </c>
      <c r="K184">
        <v>-1</v>
      </c>
      <c r="L184" t="s">
        <v>371</v>
      </c>
    </row>
    <row r="185" spans="1:12" x14ac:dyDescent="0.65">
      <c r="A185" t="s">
        <v>136</v>
      </c>
      <c r="B185" t="s">
        <v>72</v>
      </c>
      <c r="C185">
        <v>1</v>
      </c>
      <c r="D185" s="26" t="s">
        <v>376</v>
      </c>
      <c r="E185" s="26" t="s">
        <v>176</v>
      </c>
      <c r="F185">
        <v>2499.89990234375</v>
      </c>
      <c r="G185">
        <v>652.5</v>
      </c>
      <c r="H185">
        <v>174.39999389648438</v>
      </c>
      <c r="I185">
        <v>199.39999389648438</v>
      </c>
      <c r="J185" t="s">
        <v>368</v>
      </c>
      <c r="K185">
        <v>-1</v>
      </c>
      <c r="L185" t="s">
        <v>371</v>
      </c>
    </row>
    <row r="186" spans="1:12" x14ac:dyDescent="0.65">
      <c r="A186" t="s">
        <v>136</v>
      </c>
      <c r="B186" t="s">
        <v>377</v>
      </c>
      <c r="C186">
        <v>9</v>
      </c>
      <c r="D186" s="26" t="s">
        <v>115</v>
      </c>
      <c r="E186" s="26" t="s">
        <v>115</v>
      </c>
      <c r="F186">
        <v>2683.199951171875</v>
      </c>
      <c r="G186">
        <v>511.5</v>
      </c>
      <c r="H186">
        <v>323.5</v>
      </c>
      <c r="I186">
        <v>0</v>
      </c>
      <c r="J186" t="s">
        <v>368</v>
      </c>
      <c r="K186">
        <v>-1</v>
      </c>
      <c r="L186" t="s">
        <v>371</v>
      </c>
    </row>
    <row r="187" spans="1:12" x14ac:dyDescent="0.65">
      <c r="A187" t="s">
        <v>136</v>
      </c>
      <c r="B187" t="s">
        <v>378</v>
      </c>
      <c r="C187">
        <v>6</v>
      </c>
      <c r="D187" s="26" t="s">
        <v>115</v>
      </c>
      <c r="E187" s="26" t="s">
        <v>115</v>
      </c>
      <c r="F187">
        <v>2718.60009765625</v>
      </c>
      <c r="G187">
        <v>118</v>
      </c>
      <c r="H187">
        <v>339</v>
      </c>
      <c r="I187">
        <v>204.69999694824219</v>
      </c>
      <c r="J187" t="s">
        <v>379</v>
      </c>
      <c r="K187">
        <v>-1</v>
      </c>
    </row>
    <row r="188" spans="1:12" x14ac:dyDescent="0.65">
      <c r="A188" t="s">
        <v>136</v>
      </c>
      <c r="B188" t="s">
        <v>380</v>
      </c>
      <c r="C188">
        <v>13</v>
      </c>
      <c r="D188" s="26" t="s">
        <v>115</v>
      </c>
      <c r="E188" s="26" t="s">
        <v>115</v>
      </c>
      <c r="F188">
        <v>2718.60009765625</v>
      </c>
      <c r="G188">
        <v>118</v>
      </c>
      <c r="H188">
        <v>338.20001220703125</v>
      </c>
      <c r="I188">
        <v>202.30000305175781</v>
      </c>
      <c r="J188" t="s">
        <v>379</v>
      </c>
      <c r="K188">
        <v>-1</v>
      </c>
      <c r="L188" t="s">
        <v>378</v>
      </c>
    </row>
    <row r="189" spans="1:12" x14ac:dyDescent="0.65">
      <c r="A189" t="s">
        <v>136</v>
      </c>
      <c r="B189" t="s">
        <v>360</v>
      </c>
      <c r="C189">
        <v>1</v>
      </c>
      <c r="D189" s="26" t="s">
        <v>381</v>
      </c>
      <c r="E189" s="26" t="s">
        <v>180</v>
      </c>
      <c r="F189">
        <v>2898.10009765625</v>
      </c>
      <c r="G189">
        <v>120.40000152587891</v>
      </c>
      <c r="H189">
        <v>336.5</v>
      </c>
      <c r="I189">
        <v>18</v>
      </c>
      <c r="J189" t="s">
        <v>379</v>
      </c>
      <c r="K189">
        <v>-1</v>
      </c>
      <c r="L189" t="s">
        <v>378</v>
      </c>
    </row>
    <row r="190" spans="1:12" x14ac:dyDescent="0.65">
      <c r="A190" t="s">
        <v>136</v>
      </c>
      <c r="B190" t="s">
        <v>382</v>
      </c>
      <c r="C190">
        <v>9</v>
      </c>
      <c r="D190" s="26" t="s">
        <v>115</v>
      </c>
      <c r="E190" s="26" t="s">
        <v>115</v>
      </c>
      <c r="F190">
        <v>2897.699951171875</v>
      </c>
      <c r="G190">
        <v>127.09999847412109</v>
      </c>
      <c r="H190">
        <v>323.5</v>
      </c>
      <c r="I190">
        <v>0</v>
      </c>
      <c r="J190" t="s">
        <v>379</v>
      </c>
      <c r="K190">
        <v>-1</v>
      </c>
      <c r="L190" t="s">
        <v>378</v>
      </c>
    </row>
    <row r="191" spans="1:12" x14ac:dyDescent="0.65">
      <c r="A191" t="s">
        <v>136</v>
      </c>
      <c r="B191" t="s">
        <v>383</v>
      </c>
      <c r="C191">
        <v>17</v>
      </c>
      <c r="D191" s="26" t="s">
        <v>115</v>
      </c>
      <c r="E191" s="26" t="s">
        <v>90</v>
      </c>
      <c r="F191">
        <v>2867.5</v>
      </c>
      <c r="G191">
        <v>144.60000610351563</v>
      </c>
      <c r="H191">
        <v>105</v>
      </c>
      <c r="I191">
        <v>29.700000762939453</v>
      </c>
      <c r="J191" t="s">
        <v>379</v>
      </c>
      <c r="K191">
        <v>-1</v>
      </c>
      <c r="L191" t="s">
        <v>378</v>
      </c>
    </row>
    <row r="192" spans="1:12" x14ac:dyDescent="0.65">
      <c r="A192" t="s">
        <v>136</v>
      </c>
      <c r="B192" t="s">
        <v>384</v>
      </c>
      <c r="C192">
        <v>1</v>
      </c>
      <c r="D192" s="26" t="s">
        <v>385</v>
      </c>
      <c r="E192" s="26" t="s">
        <v>176</v>
      </c>
      <c r="F192">
        <v>2723.699951171875</v>
      </c>
      <c r="G192">
        <v>274</v>
      </c>
      <c r="H192">
        <v>174.39999389648438</v>
      </c>
      <c r="I192">
        <v>199.60000610351563</v>
      </c>
      <c r="J192" t="s">
        <v>379</v>
      </c>
      <c r="K192">
        <v>-1</v>
      </c>
      <c r="L192" t="s">
        <v>378</v>
      </c>
    </row>
    <row r="193" spans="1:12" x14ac:dyDescent="0.65">
      <c r="A193" t="s">
        <v>136</v>
      </c>
      <c r="B193" t="s">
        <v>386</v>
      </c>
      <c r="C193">
        <v>6</v>
      </c>
      <c r="D193" s="26" t="s">
        <v>115</v>
      </c>
      <c r="E193" s="26" t="s">
        <v>115</v>
      </c>
      <c r="F193">
        <v>2718.60009765625</v>
      </c>
      <c r="G193">
        <v>505</v>
      </c>
      <c r="H193">
        <v>338.20001220703125</v>
      </c>
      <c r="I193">
        <v>202.10000610351563</v>
      </c>
      <c r="J193" t="s">
        <v>387</v>
      </c>
      <c r="K193">
        <v>-1</v>
      </c>
    </row>
    <row r="194" spans="1:12" x14ac:dyDescent="0.65">
      <c r="A194" t="s">
        <v>136</v>
      </c>
      <c r="B194" t="s">
        <v>388</v>
      </c>
      <c r="C194">
        <v>13</v>
      </c>
      <c r="D194" s="26" t="s">
        <v>115</v>
      </c>
      <c r="E194" s="26" t="s">
        <v>115</v>
      </c>
      <c r="F194">
        <v>2718.60009765625</v>
      </c>
      <c r="G194">
        <v>505</v>
      </c>
      <c r="H194">
        <v>338.20001220703125</v>
      </c>
      <c r="I194">
        <v>202.10000610351563</v>
      </c>
      <c r="J194" t="s">
        <v>387</v>
      </c>
      <c r="K194">
        <v>-1</v>
      </c>
      <c r="L194" t="s">
        <v>386</v>
      </c>
    </row>
    <row r="195" spans="1:12" x14ac:dyDescent="0.65">
      <c r="A195" t="s">
        <v>136</v>
      </c>
      <c r="B195" t="s">
        <v>360</v>
      </c>
      <c r="C195">
        <v>1</v>
      </c>
      <c r="D195" s="26" t="s">
        <v>389</v>
      </c>
      <c r="E195" s="26" t="s">
        <v>180</v>
      </c>
      <c r="F195">
        <v>2894.5</v>
      </c>
      <c r="G195">
        <v>505.10000610351563</v>
      </c>
      <c r="H195">
        <v>335.70001220703125</v>
      </c>
      <c r="I195">
        <v>20.899999618530273</v>
      </c>
      <c r="J195" t="s">
        <v>387</v>
      </c>
      <c r="K195">
        <v>-1</v>
      </c>
      <c r="L195" t="s">
        <v>386</v>
      </c>
    </row>
    <row r="196" spans="1:12" x14ac:dyDescent="0.65">
      <c r="A196" t="s">
        <v>136</v>
      </c>
      <c r="B196" t="s">
        <v>390</v>
      </c>
      <c r="C196">
        <v>9</v>
      </c>
      <c r="D196" s="26" t="s">
        <v>115</v>
      </c>
      <c r="E196" s="26" t="s">
        <v>115</v>
      </c>
      <c r="F196">
        <v>2896.39990234375</v>
      </c>
      <c r="G196">
        <v>510.5</v>
      </c>
      <c r="H196">
        <v>324.10000610351563</v>
      </c>
      <c r="I196">
        <v>0</v>
      </c>
      <c r="J196" t="s">
        <v>387</v>
      </c>
      <c r="K196">
        <v>-1</v>
      </c>
      <c r="L196" t="s">
        <v>386</v>
      </c>
    </row>
    <row r="197" spans="1:12" x14ac:dyDescent="0.65">
      <c r="A197" t="s">
        <v>136</v>
      </c>
      <c r="B197" t="s">
        <v>391</v>
      </c>
      <c r="C197">
        <v>17</v>
      </c>
      <c r="D197" s="26" t="s">
        <v>115</v>
      </c>
      <c r="E197" s="26" t="s">
        <v>91</v>
      </c>
      <c r="F197">
        <v>2864.39990234375</v>
      </c>
      <c r="G197">
        <v>529.9000244140625</v>
      </c>
      <c r="H197">
        <v>105.09999847412109</v>
      </c>
      <c r="I197">
        <v>34.5</v>
      </c>
      <c r="J197" t="s">
        <v>387</v>
      </c>
      <c r="K197">
        <v>-1</v>
      </c>
      <c r="L197" t="s">
        <v>386</v>
      </c>
    </row>
    <row r="198" spans="1:12" x14ac:dyDescent="0.65">
      <c r="A198" t="s">
        <v>136</v>
      </c>
      <c r="B198" t="s">
        <v>392</v>
      </c>
      <c r="C198">
        <v>1</v>
      </c>
      <c r="D198" s="26" t="s">
        <v>393</v>
      </c>
      <c r="E198" s="26" t="s">
        <v>176</v>
      </c>
      <c r="F198">
        <v>2720.199951171875</v>
      </c>
      <c r="G198">
        <v>662.0999755859375</v>
      </c>
      <c r="H198">
        <v>174.80000305175781</v>
      </c>
      <c r="I198">
        <v>199.39999389648438</v>
      </c>
      <c r="J198" t="s">
        <v>387</v>
      </c>
      <c r="K198">
        <v>-1</v>
      </c>
      <c r="L198" t="s">
        <v>386</v>
      </c>
    </row>
    <row r="199" spans="1:12" x14ac:dyDescent="0.65">
      <c r="A199" t="s">
        <v>136</v>
      </c>
      <c r="B199" t="s">
        <v>394</v>
      </c>
      <c r="C199">
        <v>1</v>
      </c>
      <c r="D199" s="26" t="s">
        <v>395</v>
      </c>
      <c r="E199" s="26" t="s">
        <v>180</v>
      </c>
      <c r="F199">
        <v>3115</v>
      </c>
      <c r="G199">
        <v>120.40000152587891</v>
      </c>
      <c r="H199">
        <v>336.5</v>
      </c>
      <c r="I199">
        <v>20.200000762939453</v>
      </c>
      <c r="J199" t="s">
        <v>396</v>
      </c>
      <c r="K199">
        <v>-1</v>
      </c>
    </row>
    <row r="200" spans="1:12" x14ac:dyDescent="0.65">
      <c r="A200" t="s">
        <v>136</v>
      </c>
      <c r="B200" t="s">
        <v>397</v>
      </c>
      <c r="C200">
        <v>17</v>
      </c>
      <c r="D200" s="26" t="s">
        <v>115</v>
      </c>
      <c r="E200" s="26" t="s">
        <v>94</v>
      </c>
      <c r="F200">
        <v>3084.39990234375</v>
      </c>
      <c r="G200">
        <v>144.60000610351563</v>
      </c>
      <c r="H200">
        <v>105.09999847412109</v>
      </c>
      <c r="I200">
        <v>29.799999237060547</v>
      </c>
      <c r="J200" t="s">
        <v>398</v>
      </c>
      <c r="K200">
        <v>-1</v>
      </c>
    </row>
    <row r="201" spans="1:12" x14ac:dyDescent="0.65">
      <c r="A201" t="s">
        <v>136</v>
      </c>
      <c r="B201" t="s">
        <v>399</v>
      </c>
      <c r="C201">
        <v>1</v>
      </c>
      <c r="D201" s="26" t="s">
        <v>400</v>
      </c>
      <c r="E201" s="26" t="s">
        <v>176</v>
      </c>
      <c r="F201">
        <v>2940.699951171875</v>
      </c>
      <c r="G201">
        <v>274</v>
      </c>
      <c r="H201">
        <v>184.5</v>
      </c>
      <c r="I201">
        <v>200.89999389648438</v>
      </c>
      <c r="J201" t="s">
        <v>137</v>
      </c>
      <c r="K201">
        <v>-1</v>
      </c>
    </row>
    <row r="202" spans="1:12" x14ac:dyDescent="0.65">
      <c r="A202" t="s">
        <v>136</v>
      </c>
      <c r="B202" t="s">
        <v>401</v>
      </c>
      <c r="C202">
        <v>9</v>
      </c>
      <c r="D202" s="26" t="s">
        <v>115</v>
      </c>
      <c r="E202" s="26" t="s">
        <v>115</v>
      </c>
      <c r="F202">
        <v>3114.60009765625</v>
      </c>
      <c r="G202">
        <v>127.09999847412109</v>
      </c>
      <c r="H202">
        <v>323.5</v>
      </c>
      <c r="I202">
        <v>0</v>
      </c>
      <c r="J202" t="s">
        <v>402</v>
      </c>
      <c r="K202">
        <v>-1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F2E309908AD2F4FABE9FDF91950F2AE" ma:contentTypeVersion="14" ma:contentTypeDescription="Create a new document." ma:contentTypeScope="" ma:versionID="45b1bf7fd2590a214a697c36ff3784e4">
  <xsd:schema xmlns:xsd="http://www.w3.org/2001/XMLSchema" xmlns:xs="http://www.w3.org/2001/XMLSchema" xmlns:p="http://schemas.microsoft.com/office/2006/metadata/properties" xmlns:ns2="a87433f6-3510-40e4-a273-2c3c3e7ed02e" xmlns:ns3="cd0b0686-2f4f-496b-998c-d992bf00ed58" targetNamespace="http://schemas.microsoft.com/office/2006/metadata/properties" ma:root="true" ma:fieldsID="5f6b39719706f3dd255bb848ce5ed1f3" ns2:_="" ns3:_="">
    <xsd:import namespace="a87433f6-3510-40e4-a273-2c3c3e7ed02e"/>
    <xsd:import namespace="cd0b0686-2f4f-496b-998c-d992bf00ed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7433f6-3510-40e4-a273-2c3c3e7ed0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fed65db2-cd76-4a07-9fc5-ec3c570dc2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0b0686-2f4f-496b-998c-d992bf00ed58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82f207ad-c82a-4901-a13e-869f9e4721ab}" ma:internalName="TaxCatchAll" ma:showField="CatchAllData" ma:web="cd0b0686-2f4f-496b-998c-d992bf00ed5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87433f6-3510-40e4-a273-2c3c3e7ed02e">
      <Terms xmlns="http://schemas.microsoft.com/office/infopath/2007/PartnerControls"/>
    </lcf76f155ced4ddcb4097134ff3c332f>
    <TaxCatchAll xmlns="cd0b0686-2f4f-496b-998c-d992bf00ed58" xsi:nil="true"/>
    <MediaLengthInSeconds xmlns="a87433f6-3510-40e4-a273-2c3c3e7ed02e" xsi:nil="true"/>
  </documentManagement>
</p:properties>
</file>

<file path=customXml/itemProps1.xml><?xml version="1.0" encoding="utf-8"?>
<ds:datastoreItem xmlns:ds="http://schemas.openxmlformats.org/officeDocument/2006/customXml" ds:itemID="{3B917411-5EC0-4289-A5F5-8AEA54F4F5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7433f6-3510-40e4-a273-2c3c3e7ed02e"/>
    <ds:schemaRef ds:uri="cd0b0686-2f4f-496b-998c-d992bf00ed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B79492-14E2-4FEF-8D5D-03DFDFB41FC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E7FBDF-1A83-4BAC-B944-16382826E28B}">
  <ds:schemaRefs>
    <ds:schemaRef ds:uri="cd0b0686-2f4f-496b-998c-d992bf00ed58"/>
    <ds:schemaRef ds:uri="http://schemas.microsoft.com/office/2006/documentManagement/types"/>
    <ds:schemaRef ds:uri="http://purl.org/dc/elements/1.1/"/>
    <ds:schemaRef ds:uri="http://schemas.microsoft.com/office/2006/metadata/properties"/>
    <ds:schemaRef ds:uri="a87433f6-3510-40e4-a273-2c3c3e7ed02e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Demographic Data</vt:lpstr>
      <vt:lpstr>Juror Profiles</vt:lpstr>
      <vt:lpstr>Juror Profile Cards</vt:lpstr>
      <vt:lpstr>Sheet1</vt:lpstr>
      <vt:lpstr>Shape Audit</vt:lpstr>
      <vt:lpstr>'Juror Profiles'!Print_Area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James Dare</dc:creator>
  <cp:lastModifiedBy>James Dare</cp:lastModifiedBy>
  <cp:lastPrinted>2026-10-16T12:24:25Z</cp:lastPrinted>
  <dcterms:created xsi:type="dcterms:W3CDTF">2024-01-22T03:32:25Z</dcterms:created>
  <dcterms:modified xsi:type="dcterms:W3CDTF">2026-10-17T18:27:52Z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0x010100BF2E309908AD2F4FABE9FDF91950F2AE</vt:lpwstr>
  </property>
  <property fmtid="{D5CDD505-2E9C-101B-9397-08002B2CF9AE}" pid="3" name="MediaServiceImageTags">
    <vt:lpwstr/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SIP_Label_ab4e8862-7e5b-4707-ab43-7cc0dd33ea84_Enabled">
    <vt:lpwstr>true</vt:lpwstr>
  </property>
  <property fmtid="{D5CDD505-2E9C-101B-9397-08002B2CF9AE}" pid="11" name="MSIP_Label_ab4e8862-7e5b-4707-ab43-7cc0dd33ea84_SetDate">
    <vt:lpwstr>2026-06-04T13:21:10Z</vt:lpwstr>
  </property>
  <property fmtid="{D5CDD505-2E9C-101B-9397-08002B2CF9AE}" pid="12" name="MSIP_Label_ab4e8862-7e5b-4707-ab43-7cc0dd33ea84_Method">
    <vt:lpwstr>Standard</vt:lpwstr>
  </property>
  <property fmtid="{D5CDD505-2E9C-101B-9397-08002B2CF9AE}" pid="13" name="MSIP_Label_ab4e8862-7e5b-4707-ab43-7cc0dd33ea84_Name">
    <vt:lpwstr>General</vt:lpwstr>
  </property>
  <property fmtid="{D5CDD505-2E9C-101B-9397-08002B2CF9AE}" pid="14" name="MSIP_Label_ab4e8862-7e5b-4707-ab43-7cc0dd33ea84_SiteId">
    <vt:lpwstr>512e315e-d3bf-4e31-9e8f-b5c2abf7e4a5</vt:lpwstr>
  </property>
  <property fmtid="{D5CDD505-2E9C-101B-9397-08002B2CF9AE}" pid="15" name="MSIP_Label_ab4e8862-7e5b-4707-ab43-7cc0dd33ea84_ActionId">
    <vt:lpwstr>eaf021c6-9d6a-4eea-88f4-e026254c5c17</vt:lpwstr>
  </property>
  <property fmtid="{D5CDD505-2E9C-101B-9397-08002B2CF9AE}" pid="16" name="MSIP_Label_ab4e8862-7e5b-4707-ab43-7cc0dd33ea84_ContentBits">
    <vt:lpwstr>0</vt:lpwstr>
  </property>
  <property fmtid="{D5CDD505-2E9C-101B-9397-08002B2CF9AE}" pid="17" name="MSIP_Label_ab4e8862-7e5b-4707-ab43-7cc0dd33ea84_Tag">
    <vt:lpwstr>10, 3, 0, 1</vt:lpwstr>
  </property>
</Properties>
</file>